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Sheet" sheetId="1" state="visible" r:id="rId1"/>
    <sheet name="How To Use" sheetId="2" state="visible" r:id="rId2"/>
  </sheets>
  <definedNames>
    <definedName name="_xlnm._FilterDatabase" localSheetId="0" hidden="1">'Call Sheet'!$A$1:$L$90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6CC"/>
      </patternFill>
    </fill>
    <fill>
      <patternFill patternType="solid">
        <fgColor rgb="00FFE8D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2" customWidth="1" min="4" max="4"/>
    <col width="15" customWidth="1" min="5" max="5"/>
    <col width="18" customWidth="1" min="6" max="6"/>
    <col width="16" customWidth="1" min="7" max="7"/>
    <col width="14" customWidth="1" min="8" max="8"/>
    <col width="18" customWidth="1" min="9" max="9"/>
    <col width="34" customWidth="1" min="10" max="10"/>
    <col width="70" customWidth="1" min="11" max="11"/>
    <col width="55" customWidth="1" min="12" max="12"/>
  </cols>
  <sheetData>
    <row r="1" ht="22" customHeight="1">
      <c r="A1" s="1" t="inlineStr">
        <is>
          <t>Business Name</t>
        </is>
      </c>
      <c r="B1" s="1" t="inlineStr">
        <is>
          <t>Phone</t>
        </is>
      </c>
      <c r="C1" s="1" t="inlineStr">
        <is>
          <t>Trade</t>
        </is>
      </c>
      <c r="D1" s="1" t="inlineStr">
        <is>
          <t>City</t>
        </is>
      </c>
      <c r="E1" s="1" t="inlineStr">
        <is>
          <t>Online Presence</t>
        </is>
      </c>
      <c r="F1" s="1" t="inlineStr">
        <is>
          <t>Confidence</t>
        </is>
      </c>
      <c r="G1" s="1" t="inlineStr">
        <is>
          <t>Call Status</t>
        </is>
      </c>
      <c r="H1" s="1" t="inlineStr">
        <is>
          <t>Appointment</t>
        </is>
      </c>
      <c r="I1" s="1" t="inlineStr">
        <is>
          <t>Outcome</t>
        </is>
      </c>
      <c r="J1" s="1" t="inlineStr">
        <is>
          <t>Address</t>
        </is>
      </c>
      <c r="K1" s="1" t="inlineStr">
        <is>
          <t>Notes</t>
        </is>
      </c>
      <c r="L1" s="1" t="inlineStr">
        <is>
          <t>Source</t>
        </is>
      </c>
    </row>
    <row r="2">
      <c r="A2" s="2" t="inlineStr">
        <is>
          <t>Kingdom Construction</t>
        </is>
      </c>
      <c r="B2" s="2" t="inlineStr">
        <is>
          <t>(915) 283-9745</t>
        </is>
      </c>
      <c r="C2" s="2" t="inlineStr">
        <is>
          <t>concrete</t>
        </is>
      </c>
      <c r="D2" s="2" t="inlineStr">
        <is>
          <t>El Paso, TX</t>
        </is>
      </c>
      <c r="E2" s="2" t="inlineStr">
        <is>
          <t>None</t>
        </is>
      </c>
      <c r="F2" s="3" t="inlineStr">
        <is>
          <t>Re-check first</t>
        </is>
      </c>
      <c r="G2" s="2" t="inlineStr">
        <is>
          <t>Not called</t>
        </is>
      </c>
      <c r="H2" s="2" t="inlineStr"/>
      <c r="I2" s="2" t="inlineStr"/>
      <c r="J2" s="4" t="inlineStr"/>
      <c r="K2" s="4" t="inlineStr">
        <is>
          <t>Masonry/concrete category on Yelp. Phone from Yelp listing; no website seen in searches, but not individually re-verified - confirm before outreach (generic name).</t>
        </is>
      </c>
      <c r="L2" s="4" t="inlineStr">
        <is>
          <t>https://www.yelp.com/biz/kingdom-construction-el-paso</t>
        </is>
      </c>
    </row>
    <row r="3">
      <c r="A3" s="2" t="inlineStr">
        <is>
          <t>Bellas Drywall &amp; Remodel</t>
        </is>
      </c>
      <c r="B3" s="2" t="inlineStr">
        <is>
          <t>(915) 319-9697</t>
        </is>
      </c>
      <c r="C3" s="2" t="inlineStr">
        <is>
          <t>drywall</t>
        </is>
      </c>
      <c r="D3" s="2" t="inlineStr">
        <is>
          <t>El Paso, TX</t>
        </is>
      </c>
      <c r="E3" s="2" t="inlineStr">
        <is>
          <t>None</t>
        </is>
      </c>
      <c r="F3" s="2" t="inlineStr">
        <is>
          <t>Verified no website</t>
        </is>
      </c>
      <c r="G3" s="2" t="inlineStr">
        <is>
          <t>Not called</t>
        </is>
      </c>
      <c r="H3" s="2" t="inlineStr"/>
      <c r="I3" s="2" t="inlineStr"/>
      <c r="J3" s="4" t="inlineStr">
        <is>
          <t>9056 Cana Ave, El Paso, TX</t>
        </is>
      </c>
      <c r="K3" s="4" t="inlineStr">
        <is>
          <t>Small drywall installation &amp; repair outfit on Yelp; no website surfaced in searches.</t>
        </is>
      </c>
      <c r="L3" s="4" t="inlineStr">
        <is>
          <t>https://www.yelp.com/biz/bellas-drywall-and-remodel-el-paso</t>
        </is>
      </c>
    </row>
    <row r="4">
      <c r="A4" s="2" t="inlineStr">
        <is>
          <t>OTC Drywall</t>
        </is>
      </c>
      <c r="B4" s="2" t="inlineStr">
        <is>
          <t>(915) 493-5280</t>
        </is>
      </c>
      <c r="C4" s="2" t="inlineStr">
        <is>
          <t>drywall</t>
        </is>
      </c>
      <c r="D4" s="2" t="inlineStr">
        <is>
          <t>El Paso, TX</t>
        </is>
      </c>
      <c r="E4" s="2" t="inlineStr">
        <is>
          <t>None</t>
        </is>
      </c>
      <c r="F4" s="3" t="inlineStr">
        <is>
          <t>Re-check first</t>
        </is>
      </c>
      <c r="G4" s="2" t="inlineStr">
        <is>
          <t>Not called</t>
        </is>
      </c>
      <c r="H4" s="2" t="inlineStr"/>
      <c r="I4" s="2" t="inlineStr"/>
      <c r="J4" s="4" t="inlineStr"/>
      <c r="K4" s="4" t="inlineStr">
        <is>
          <t>Yelp 'Request a Quote' listing (drywall installation &amp; repair); no website surfaced in searches - re-check before call.</t>
        </is>
      </c>
      <c r="L4" s="4" t="inlineStr">
        <is>
          <t>https://www.yelp.com/biz/otc-drywall-el-paso</t>
        </is>
      </c>
    </row>
    <row r="5">
      <c r="A5" s="2" t="inlineStr">
        <is>
          <t>Southwest Contractors</t>
        </is>
      </c>
      <c r="B5" s="2" t="inlineStr">
        <is>
          <t>(915) 234-2004</t>
        </is>
      </c>
      <c r="C5" s="2" t="inlineStr">
        <is>
          <t>drywall</t>
        </is>
      </c>
      <c r="D5" s="2" t="inlineStr">
        <is>
          <t>El Paso, TX</t>
        </is>
      </c>
      <c r="E5" s="2" t="inlineStr">
        <is>
          <t>None</t>
        </is>
      </c>
      <c r="F5" s="3" t="inlineStr">
        <is>
          <t>Re-check first</t>
        </is>
      </c>
      <c r="G5" s="2" t="inlineStr">
        <is>
          <t>Not called</t>
        </is>
      </c>
      <c r="H5" s="2" t="inlineStr"/>
      <c r="I5" s="2" t="inlineStr"/>
      <c r="J5" s="4" t="inlineStr">
        <is>
          <t>5400 Suncrest Dr, El Paso, TX 79912</t>
        </is>
      </c>
      <c r="K5" s="4" t="inlineStr">
        <is>
          <t>Listed under YP drywall contractors; generic name, not individually verified - confirm trade and website status on call.</t>
        </is>
      </c>
      <c r="L5" s="4" t="inlineStr">
        <is>
          <t>https://www.yellowpages.com/el-paso-tx/drywall-contractors</t>
        </is>
      </c>
    </row>
    <row r="6">
      <c r="A6" s="2" t="inlineStr">
        <is>
          <t>Southwest Drywall &amp; Plaster</t>
        </is>
      </c>
      <c r="B6" s="2" t="inlineStr">
        <is>
          <t>(915) 274-5506</t>
        </is>
      </c>
      <c r="C6" s="2" t="inlineStr">
        <is>
          <t>drywall</t>
        </is>
      </c>
      <c r="D6" s="2" t="inlineStr">
        <is>
          <t>El Paso, TX</t>
        </is>
      </c>
      <c r="E6" s="2" t="inlineStr">
        <is>
          <t>None</t>
        </is>
      </c>
      <c r="F6" s="2" t="inlineStr">
        <is>
          <t>Verified no website</t>
        </is>
      </c>
      <c r="G6" s="2" t="inlineStr">
        <is>
          <t>Not called</t>
        </is>
      </c>
      <c r="H6" s="2" t="inlineStr"/>
      <c r="I6" s="2" t="inlineStr"/>
      <c r="J6" s="4" t="inlineStr"/>
      <c r="K6" s="4" t="inlineStr">
        <is>
          <t>Active Yelp listing with 20 photos (drywall installation &amp; repair); no website surfaced in searches.</t>
        </is>
      </c>
      <c r="L6" s="4" t="inlineStr">
        <is>
          <t>https://www.yelp.com/biz/southwest-drywall-and-plaster-el-paso</t>
        </is>
      </c>
    </row>
    <row r="7">
      <c r="A7" s="2" t="inlineStr">
        <is>
          <t>Legacy Wood Fences</t>
        </is>
      </c>
      <c r="B7" s="2" t="inlineStr">
        <is>
          <t>(915) 217-9038</t>
        </is>
      </c>
      <c r="C7" s="2" t="inlineStr">
        <is>
          <t>fencing</t>
        </is>
      </c>
      <c r="D7" s="2" t="inlineStr">
        <is>
          <t>El Paso, TX</t>
        </is>
      </c>
      <c r="E7" s="5" t="inlineStr">
        <is>
          <t>Facebook only</t>
        </is>
      </c>
      <c r="F7" s="2" t="inlineStr">
        <is>
          <t>Verified no website</t>
        </is>
      </c>
      <c r="G7" s="2" t="inlineStr">
        <is>
          <t>Not called</t>
        </is>
      </c>
      <c r="H7" s="2" t="inlineStr"/>
      <c r="I7" s="2" t="inlineStr"/>
      <c r="J7" s="4" t="inlineStr"/>
      <c r="K7" s="4" t="inlineStr">
        <is>
          <t>Veteran-operated; privacy fences, pergolas, turf, rock walls. Follow-up search found only Facebook and Nextdoor pages, no website.</t>
        </is>
      </c>
      <c r="L7" s="4" t="inlineStr">
        <is>
          <t>https://www.facebook.com/LegacyWoodFences/</t>
        </is>
      </c>
    </row>
    <row r="8">
      <c r="A8" s="2" t="inlineStr">
        <is>
          <t>Southwest Wrought Iron Works, Inc.</t>
        </is>
      </c>
      <c r="B8" s="2" t="inlineStr">
        <is>
          <t>(915) 581-5620</t>
        </is>
      </c>
      <c r="C8" s="2" t="inlineStr">
        <is>
          <t>fencing</t>
        </is>
      </c>
      <c r="D8" s="2" t="inlineStr">
        <is>
          <t>El Paso, TX</t>
        </is>
      </c>
      <c r="E8" s="5" t="inlineStr">
        <is>
          <t>Facebook only</t>
        </is>
      </c>
      <c r="F8" s="2" t="inlineStr">
        <is>
          <t>Verified no website</t>
        </is>
      </c>
      <c r="G8" s="2" t="inlineStr">
        <is>
          <t>Not called</t>
        </is>
      </c>
      <c r="H8" s="2" t="inlineStr"/>
      <c r="I8" s="2" t="inlineStr"/>
      <c r="J8" s="4" t="inlineStr">
        <is>
          <t>5956 Doniphan Dr, El Paso, TX 79932</t>
        </is>
      </c>
      <c r="K8" s="4" t="inlineStr">
        <is>
          <t>Iron fencing, gates, security doors; established 1980. Directory listings (Yelp, BBB, Angi, HomeAdvisor, YP) and a Facebook page, no own website. Rated 4.8 overall per directory listing (not confirmed as Google rating).</t>
        </is>
      </c>
      <c r="L8" s="4" t="inlineStr">
        <is>
          <t>https://www.yelp.com/biz/southwest-wrought-iron-works-el-paso-3</t>
        </is>
      </c>
    </row>
    <row r="9">
      <c r="A9" s="2" t="inlineStr">
        <is>
          <t>Agustin Framing</t>
        </is>
      </c>
      <c r="B9" s="2" t="inlineStr">
        <is>
          <t>(915) 525-0274</t>
        </is>
      </c>
      <c r="C9" s="2" t="inlineStr">
        <is>
          <t>framing</t>
        </is>
      </c>
      <c r="D9" s="2" t="inlineStr">
        <is>
          <t>El Paso, TX</t>
        </is>
      </c>
      <c r="E9" s="2" t="inlineStr">
        <is>
          <t>None</t>
        </is>
      </c>
      <c r="F9" s="2" t="inlineStr">
        <is>
          <t>Verified no website</t>
        </is>
      </c>
      <c r="G9" s="2" t="inlineStr">
        <is>
          <t>Not called</t>
        </is>
      </c>
      <c r="H9" s="2" t="inlineStr"/>
      <c r="I9" s="2" t="inlineStr"/>
      <c r="J9" s="4" t="inlineStr">
        <is>
          <t>1140 Conrad Nathan Pl, El Paso, TX 79936</t>
        </is>
      </c>
      <c r="K9" s="4" t="inlineStr">
        <is>
          <t>Wood-framing specialty contractor; appears only on directories (BBB, Procore, Porch, BuildZoom, D&amp;B); phone and address shown in directory search results; no website found.</t>
        </is>
      </c>
      <c r="L9" s="4" t="inlineStr">
        <is>
          <t>https://pro.porch.com/el-paso-tx/framing-contractors/agustin-framing/pp</t>
        </is>
      </c>
    </row>
    <row r="10">
      <c r="A10" s="2" t="inlineStr">
        <is>
          <t>Frame Co</t>
        </is>
      </c>
      <c r="B10" s="2" t="inlineStr">
        <is>
          <t>(915) 545-3091</t>
        </is>
      </c>
      <c r="C10" s="2" t="inlineStr">
        <is>
          <t>framing</t>
        </is>
      </c>
      <c r="D10" s="2" t="inlineStr">
        <is>
          <t>El Paso, TX</t>
        </is>
      </c>
      <c r="E10" s="2" t="inlineStr">
        <is>
          <t>None</t>
        </is>
      </c>
      <c r="F10" s="2" t="inlineStr">
        <is>
          <t>Verified no website</t>
        </is>
      </c>
      <c r="G10" s="2" t="inlineStr">
        <is>
          <t>Not called</t>
        </is>
      </c>
      <c r="H10" s="2" t="inlineStr"/>
      <c r="I10" s="2" t="inlineStr"/>
      <c r="J10" s="4" t="inlineStr">
        <is>
          <t>10105 Montwood Dr Ste A, El Paso, TX 79925</t>
        </is>
      </c>
      <c r="K10" s="4" t="inlineStr">
        <is>
          <t>BBB accredited, A+ rating; Procore lists it under Rough Carpentry (framing); BBB categorizes as painting contractor too - confirm primary trade on call. No website found.</t>
        </is>
      </c>
      <c r="L10" s="4" t="inlineStr">
        <is>
          <t>https://www.bbb.org/us/tx/el-paso/profile/painting-contractors/frame-co-0895-99172056</t>
        </is>
      </c>
    </row>
    <row r="11">
      <c r="A11" s="2" t="inlineStr">
        <is>
          <t>1st Choice Garage and Repairs</t>
        </is>
      </c>
      <c r="B11" s="2" t="inlineStr">
        <is>
          <t>(915) 626-5620</t>
        </is>
      </c>
      <c r="C11" s="2" t="inlineStr">
        <is>
          <t>garage doors</t>
        </is>
      </c>
      <c r="D11" s="2" t="inlineStr">
        <is>
          <t>El Paso, TX</t>
        </is>
      </c>
      <c r="E11" s="2" t="inlineStr">
        <is>
          <t>None</t>
        </is>
      </c>
      <c r="F11" s="3" t="inlineStr">
        <is>
          <t>Re-check first</t>
        </is>
      </c>
      <c r="G11" s="2" t="inlineStr">
        <is>
          <t>Not called</t>
        </is>
      </c>
      <c r="H11" s="2" t="inlineStr"/>
      <c r="I11" s="2" t="inlineStr"/>
      <c r="J11" s="4" t="inlineStr"/>
      <c r="K11" s="4" t="inlineStr">
        <is>
          <t>26 reviews on Yelp (Yelp count, not Google). Phone from Yelp listing; no website seen in searches; not individually re-verified - confirm before outreach.</t>
        </is>
      </c>
      <c r="L11" s="4" t="inlineStr">
        <is>
          <t>https://www.yelp.com/biz/1st-choice-garage-and-repairs-el-paso</t>
        </is>
      </c>
    </row>
    <row r="12">
      <c r="A12" s="2" t="inlineStr">
        <is>
          <t>Affordable Garage Garage Door Repair &amp; Sales</t>
        </is>
      </c>
      <c r="B12" s="2" t="inlineStr">
        <is>
          <t>(915) 490-4432</t>
        </is>
      </c>
      <c r="C12" s="2" t="inlineStr">
        <is>
          <t>garage doors</t>
        </is>
      </c>
      <c r="D12" s="2" t="inlineStr">
        <is>
          <t>El Paso, TX</t>
        </is>
      </c>
      <c r="E12" s="2" t="inlineStr">
        <is>
          <t>None</t>
        </is>
      </c>
      <c r="F12" s="3" t="inlineStr">
        <is>
          <t>Re-check first</t>
        </is>
      </c>
      <c r="G12" s="2" t="inlineStr">
        <is>
          <t>Not called</t>
        </is>
      </c>
      <c r="H12" s="2" t="inlineStr"/>
      <c r="I12" s="2" t="inlineStr"/>
      <c r="J12" s="4" t="inlineStr"/>
      <c r="K12" s="4" t="inlineStr">
        <is>
          <t>24-hour service. Phone from Yelp listing; no website seen in searches; not individually re-verified - confirm before outreach.</t>
        </is>
      </c>
      <c r="L12" s="4" t="inlineStr">
        <is>
          <t>https://www.yelp.com/biz/affordable-garage-garage-door-repair-and-sales-el-paso</t>
        </is>
      </c>
    </row>
    <row r="13">
      <c r="A13" s="2" t="inlineStr">
        <is>
          <t>El Paso Style Doors &amp; Garage</t>
        </is>
      </c>
      <c r="B13" s="2" t="inlineStr">
        <is>
          <t>(915) 564-0274</t>
        </is>
      </c>
      <c r="C13" s="2" t="inlineStr">
        <is>
          <t>garage doors</t>
        </is>
      </c>
      <c r="D13" s="2" t="inlineStr">
        <is>
          <t>El Paso, TX</t>
        </is>
      </c>
      <c r="E13" s="2" t="inlineStr">
        <is>
          <t>None</t>
        </is>
      </c>
      <c r="F13" s="2" t="inlineStr">
        <is>
          <t>Verified no website</t>
        </is>
      </c>
      <c r="G13" s="2" t="inlineStr">
        <is>
          <t>Not called</t>
        </is>
      </c>
      <c r="H13" s="2" t="inlineStr"/>
      <c r="I13" s="2" t="inlineStr"/>
      <c r="J13" s="4" t="inlineStr">
        <is>
          <t>4107 La Luz Ave, El Paso, TX 79903</t>
        </is>
      </c>
      <c r="K13" s="4" t="inlineStr">
        <is>
          <t>Established 2004; residential/commercial garage door repair and installation, 24-hr service. Follow-up search found only Nextdoor/BBB/Yelp/YP listings, no website. BBB shows some customer complaints.</t>
        </is>
      </c>
      <c r="L13" s="4" t="inlineStr">
        <is>
          <t>https://www.yelp.com/biz/el-paso-style-doors-and-garage-el-paso-2</t>
        </is>
      </c>
    </row>
    <row r="14">
      <c r="A14" s="2" t="inlineStr">
        <is>
          <t>RPG Garage Services</t>
        </is>
      </c>
      <c r="B14" s="2" t="inlineStr">
        <is>
          <t>(915) 319-0083</t>
        </is>
      </c>
      <c r="C14" s="2" t="inlineStr">
        <is>
          <t>garage doors</t>
        </is>
      </c>
      <c r="D14" s="2" t="inlineStr">
        <is>
          <t>El Paso, TX</t>
        </is>
      </c>
      <c r="E14" s="2" t="inlineStr">
        <is>
          <t>None</t>
        </is>
      </c>
      <c r="F14" s="3" t="inlineStr">
        <is>
          <t>Re-check first</t>
        </is>
      </c>
      <c r="G14" s="2" t="inlineStr">
        <is>
          <t>Not called</t>
        </is>
      </c>
      <c r="H14" s="2" t="inlineStr"/>
      <c r="I14" s="2" t="inlineStr"/>
      <c r="J14" s="4" t="inlineStr"/>
      <c r="K14" s="4" t="inlineStr">
        <is>
          <t>70 photos on Yelp, open daily. Phone from Yelp listing; no website seen in searches; not individually re-verified - confirm before outreach.</t>
        </is>
      </c>
      <c r="L14" s="4" t="inlineStr">
        <is>
          <t>https://www.yelp.com/biz/rpg-garage-services-el-paso</t>
        </is>
      </c>
    </row>
    <row r="15">
      <c r="A15" s="2" t="inlineStr">
        <is>
          <t>Xpert Garage Doors</t>
        </is>
      </c>
      <c r="B15" s="2" t="inlineStr">
        <is>
          <t>(915) 235-5912</t>
        </is>
      </c>
      <c r="C15" s="2" t="inlineStr">
        <is>
          <t>garage doors</t>
        </is>
      </c>
      <c r="D15" s="2" t="inlineStr">
        <is>
          <t>El Paso, TX</t>
        </is>
      </c>
      <c r="E15" s="2" t="inlineStr">
        <is>
          <t>None</t>
        </is>
      </c>
      <c r="F15" s="3" t="inlineStr">
        <is>
          <t>Re-check first</t>
        </is>
      </c>
      <c r="G15" s="2" t="inlineStr">
        <is>
          <t>Not called</t>
        </is>
      </c>
      <c r="H15" s="2" t="inlineStr"/>
      <c r="I15" s="2" t="inlineStr"/>
      <c r="J15" s="4" t="inlineStr"/>
      <c r="K15" s="4" t="inlineStr">
        <is>
          <t>Phone from Yelp listing. No website seen in searches; not individually re-verified - confirm before outreach.</t>
        </is>
      </c>
      <c r="L15" s="4" t="inlineStr">
        <is>
          <t>https://www.yelp.com/biz/xpert-garage-doors-el-paso</t>
        </is>
      </c>
    </row>
    <row r="16">
      <c r="A16" s="2" t="inlineStr">
        <is>
          <t>ELP Handy Man Worx</t>
        </is>
      </c>
      <c r="B16" s="2" t="inlineStr">
        <is>
          <t>(915) 241-5149</t>
        </is>
      </c>
      <c r="C16" s="2" t="inlineStr">
        <is>
          <t>handyman</t>
        </is>
      </c>
      <c r="D16" s="2" t="inlineStr">
        <is>
          <t>El Paso, TX</t>
        </is>
      </c>
      <c r="E16" s="2" t="inlineStr">
        <is>
          <t>None</t>
        </is>
      </c>
      <c r="F16" s="3" t="inlineStr">
        <is>
          <t>Re-check first</t>
        </is>
      </c>
      <c r="G16" s="2" t="inlineStr">
        <is>
          <t>Not called</t>
        </is>
      </c>
      <c r="H16" s="2" t="inlineStr"/>
      <c r="I16" s="2" t="inlineStr"/>
      <c r="J16" s="4" t="inlineStr"/>
      <c r="K16" s="4" t="inlineStr">
        <is>
          <t>Phone from Yelp listing. No website seen in searches; not individually re-verified - confirm before outreach.</t>
        </is>
      </c>
      <c r="L16" s="4" t="inlineStr">
        <is>
          <t>https://www.yelp.com/biz/elp-handy-man-worx-el-paso</t>
        </is>
      </c>
    </row>
    <row r="17">
      <c r="A17" s="2" t="inlineStr">
        <is>
          <t>Levi's Handyman Service</t>
        </is>
      </c>
      <c r="B17" s="2" t="inlineStr">
        <is>
          <t>(915) 490-5780</t>
        </is>
      </c>
      <c r="C17" s="2" t="inlineStr">
        <is>
          <t>handyman</t>
        </is>
      </c>
      <c r="D17" s="2" t="inlineStr">
        <is>
          <t>El Paso, TX</t>
        </is>
      </c>
      <c r="E17" s="2" t="inlineStr">
        <is>
          <t>None</t>
        </is>
      </c>
      <c r="F17" s="3" t="inlineStr">
        <is>
          <t>Re-check first</t>
        </is>
      </c>
      <c r="G17" s="2" t="inlineStr">
        <is>
          <t>Not called</t>
        </is>
      </c>
      <c r="H17" s="2" t="inlineStr"/>
      <c r="I17" s="2" t="inlineStr"/>
      <c r="J17" s="4" t="inlineStr"/>
      <c r="K17" s="4" t="inlineStr">
        <is>
          <t>Phone from Yelp listing. No website seen in searches; not individually re-verified - confirm before outreach.</t>
        </is>
      </c>
      <c r="L17" s="4" t="inlineStr">
        <is>
          <t>https://www.yelp.com/biz/levi-s-handyman-service-el-paso</t>
        </is>
      </c>
    </row>
    <row r="18">
      <c r="A18" s="2" t="inlineStr">
        <is>
          <t>Repairs &amp; More</t>
        </is>
      </c>
      <c r="B18" s="2" t="inlineStr">
        <is>
          <t>(915) 822-3081</t>
        </is>
      </c>
      <c r="C18" s="2" t="inlineStr">
        <is>
          <t>handyman</t>
        </is>
      </c>
      <c r="D18" s="2" t="inlineStr">
        <is>
          <t>El Paso, TX</t>
        </is>
      </c>
      <c r="E18" s="2" t="inlineStr">
        <is>
          <t>None</t>
        </is>
      </c>
      <c r="F18" s="3" t="inlineStr">
        <is>
          <t>Re-check first</t>
        </is>
      </c>
      <c r="G18" s="2" t="inlineStr">
        <is>
          <t>Not called</t>
        </is>
      </c>
      <c r="H18" s="2" t="inlineStr"/>
      <c r="I18" s="2" t="inlineStr"/>
      <c r="J18" s="4" t="inlineStr"/>
      <c r="K18" s="4" t="inlineStr">
        <is>
          <t>Phone from Yelp listing. No website seen in searches; not individually re-verified - confirm before outreach.</t>
        </is>
      </c>
      <c r="L18" s="4" t="inlineStr">
        <is>
          <t>https://www.yelp.com/biz/repairs-and-more-el-paso</t>
        </is>
      </c>
    </row>
    <row r="19">
      <c r="A19" s="2" t="inlineStr">
        <is>
          <t>SM Handyman &amp; Landscape Maintenance</t>
        </is>
      </c>
      <c r="B19" s="2" t="inlineStr">
        <is>
          <t>(915) 309-7409</t>
        </is>
      </c>
      <c r="C19" s="2" t="inlineStr">
        <is>
          <t>handyman</t>
        </is>
      </c>
      <c r="D19" s="2" t="inlineStr">
        <is>
          <t>El Paso, TX</t>
        </is>
      </c>
      <c r="E19" s="2" t="inlineStr">
        <is>
          <t>None</t>
        </is>
      </c>
      <c r="F19" s="2" t="inlineStr">
        <is>
          <t>Verified no website</t>
        </is>
      </c>
      <c r="G19" s="2" t="inlineStr">
        <is>
          <t>Not called</t>
        </is>
      </c>
      <c r="H19" s="2" t="inlineStr"/>
      <c r="I19" s="2" t="inlineStr"/>
      <c r="J19" s="4" t="inlineStr">
        <is>
          <t>El Paso, TX 79936</t>
        </is>
      </c>
      <c r="K19" s="4" t="inlineStr">
        <is>
          <t>Artificial turf, irrigation sprinklers, handyman work. Follow-up search found only the Yelp listing, no website.</t>
        </is>
      </c>
      <c r="L19" s="4" t="inlineStr">
        <is>
          <t>https://www.yelp.com/biz/sm-handyman-and-landscape-maintenance-el-paso-2</t>
        </is>
      </c>
    </row>
    <row r="20">
      <c r="A20" s="2" t="inlineStr">
        <is>
          <t>Foam SPF Roofing &amp; Insulation Services</t>
        </is>
      </c>
      <c r="B20" s="2" t="inlineStr">
        <is>
          <t>(915) 497-5019</t>
        </is>
      </c>
      <c r="C20" s="2" t="inlineStr">
        <is>
          <t>insulation</t>
        </is>
      </c>
      <c r="D20" s="2" t="inlineStr">
        <is>
          <t>El Paso, TX</t>
        </is>
      </c>
      <c r="E20" s="2" t="inlineStr">
        <is>
          <t>None</t>
        </is>
      </c>
      <c r="F20" s="2" t="inlineStr">
        <is>
          <t>Verified no website</t>
        </is>
      </c>
      <c r="G20" s="2" t="inlineStr">
        <is>
          <t>Not called</t>
        </is>
      </c>
      <c r="H20" s="2" t="inlineStr"/>
      <c r="I20" s="2" t="inlineStr"/>
      <c r="J20" s="4" t="inlineStr">
        <is>
          <t>817 E Missouri Ave, El Paso, TX 79902</t>
        </is>
      </c>
      <c r="K20" s="4" t="inlineStr">
        <is>
          <t>Targeted follow-up search found no website of its own. Do not confuse with 'SPF Services' at 11394 James Watt (spfservices.org) or 'Foam Applications LLC' (foamapp.com) - both different companies with websites.</t>
        </is>
      </c>
      <c r="L20" s="4" t="inlineStr">
        <is>
          <t>https://www.yellowpages.com/el-paso-tx/mip/foam-spf-roofing-insulation-services-546574505</t>
        </is>
      </c>
    </row>
    <row r="21">
      <c r="A21" s="2" t="inlineStr">
        <is>
          <t>ITC Insulation Tech Company</t>
        </is>
      </c>
      <c r="B21" s="2" t="inlineStr">
        <is>
          <t>(915) 222-8782</t>
        </is>
      </c>
      <c r="C21" s="2" t="inlineStr">
        <is>
          <t>insulation</t>
        </is>
      </c>
      <c r="D21" s="2" t="inlineStr">
        <is>
          <t>El Paso, TX</t>
        </is>
      </c>
      <c r="E21" s="2" t="inlineStr">
        <is>
          <t>None</t>
        </is>
      </c>
      <c r="F21" s="2" t="inlineStr">
        <is>
          <t>Verified no website</t>
        </is>
      </c>
      <c r="G21" s="2" t="inlineStr">
        <is>
          <t>Not called</t>
        </is>
      </c>
      <c r="H21" s="2" t="inlineStr"/>
      <c r="I21" s="2" t="inlineStr"/>
      <c r="J21" s="4" t="inlineStr">
        <is>
          <t>4430 Titanic Ave #D, El Paso, TX 79904</t>
        </is>
      </c>
      <c r="K21" s="4" t="inlineStr">
        <is>
          <t>Established 2004, ~8 employees per directory data; alt phone (915) 757-1191; only YP/Yahoo Local/Manta listings found, no website.</t>
        </is>
      </c>
      <c r="L21" s="4" t="inlineStr">
        <is>
          <t>https://www.yellowpages.com/el-paso-tx/mip/itc-insulation-tech-company-30073400</t>
        </is>
      </c>
    </row>
    <row r="22">
      <c r="A22" s="2" t="inlineStr">
        <is>
          <t>CA Landscaping</t>
        </is>
      </c>
      <c r="B22" s="2" t="inlineStr">
        <is>
          <t>(915) 493-1858</t>
        </is>
      </c>
      <c r="C22" s="2" t="inlineStr">
        <is>
          <t>landscaping</t>
        </is>
      </c>
      <c r="D22" s="2" t="inlineStr">
        <is>
          <t>El Paso, TX</t>
        </is>
      </c>
      <c r="E22" s="2" t="inlineStr">
        <is>
          <t>None</t>
        </is>
      </c>
      <c r="F22" s="2" t="inlineStr">
        <is>
          <t>Verified no website</t>
        </is>
      </c>
      <c r="G22" s="2" t="inlineStr">
        <is>
          <t>Not called</t>
        </is>
      </c>
      <c r="H22" s="2" t="inlineStr"/>
      <c r="I22" s="2" t="inlineStr"/>
      <c r="J22" s="4" t="inlineStr"/>
      <c r="K22" s="4" t="inlineStr">
        <is>
          <t>Locally owned, women-owned, 5+ years; yard cleanup, lawn care, sprinkler repair. Follow-up search found only the Yelp listing, no website (jclandscapingep.com etc. are different companies).</t>
        </is>
      </c>
      <c r="L22" s="4" t="inlineStr">
        <is>
          <t>https://www.yelp.com/biz/ca-landscaping-el-paso-2</t>
        </is>
      </c>
    </row>
    <row r="23">
      <c r="A23" s="2" t="inlineStr">
        <is>
          <t>Essential Landscaping</t>
        </is>
      </c>
      <c r="B23" s="2" t="inlineStr">
        <is>
          <t>(915) 533-4111</t>
        </is>
      </c>
      <c r="C23" s="2" t="inlineStr">
        <is>
          <t>landscaping</t>
        </is>
      </c>
      <c r="D23" s="2" t="inlineStr">
        <is>
          <t>El Paso, TX</t>
        </is>
      </c>
      <c r="E23" s="2" t="inlineStr">
        <is>
          <t>None</t>
        </is>
      </c>
      <c r="F23" s="3" t="inlineStr">
        <is>
          <t>Re-check first</t>
        </is>
      </c>
      <c r="G23" s="2" t="inlineStr">
        <is>
          <t>Not called</t>
        </is>
      </c>
      <c r="H23" s="2" t="inlineStr"/>
      <c r="I23" s="2" t="inlineStr"/>
      <c r="J23" s="4" t="inlineStr">
        <is>
          <t>809 Ellis St, El Paso, TX</t>
        </is>
      </c>
      <c r="K23" s="4" t="inlineStr">
        <is>
          <t>Phone from Yelp listing. No website seen in searches; not individually re-verified - confirm before outreach.</t>
        </is>
      </c>
      <c r="L23" s="4" t="inlineStr">
        <is>
          <t>https://www.yelp.com/biz/essential-landscaping-el-paso</t>
        </is>
      </c>
    </row>
    <row r="24">
      <c r="A24" s="2" t="inlineStr">
        <is>
          <t>West Texas - Landscaping &amp; Lawn Maintenance</t>
        </is>
      </c>
      <c r="B24" s="2" t="inlineStr">
        <is>
          <t>(915) 258-3172</t>
        </is>
      </c>
      <c r="C24" s="2" t="inlineStr">
        <is>
          <t>landscaping</t>
        </is>
      </c>
      <c r="D24" s="2" t="inlineStr">
        <is>
          <t>El Paso, TX</t>
        </is>
      </c>
      <c r="E24" s="2" t="inlineStr">
        <is>
          <t>None</t>
        </is>
      </c>
      <c r="F24" s="3" t="inlineStr">
        <is>
          <t>Re-check first</t>
        </is>
      </c>
      <c r="G24" s="2" t="inlineStr">
        <is>
          <t>Not called</t>
        </is>
      </c>
      <c r="H24" s="2" t="inlineStr"/>
      <c r="I24" s="2" t="inlineStr"/>
      <c r="J24" s="4" t="inlineStr">
        <is>
          <t>3005 Daisy St, El Paso, TX</t>
        </is>
      </c>
      <c r="K24" s="4" t="inlineStr">
        <is>
          <t>Phone from Yelp listing. No website seen in searches; not individually re-verified - confirm before outreach.</t>
        </is>
      </c>
      <c r="L24" s="4" t="inlineStr">
        <is>
          <t>https://www.yelp.com/biz/west-texas-landscaping-and-lawn-maintenance-el-paso-3</t>
        </is>
      </c>
    </row>
    <row r="25">
      <c r="A25" s="2" t="inlineStr">
        <is>
          <t>KMG Pavers &amp; Rockwalls LLC</t>
        </is>
      </c>
      <c r="B25" s="2" t="inlineStr">
        <is>
          <t>(915) 478-6504</t>
        </is>
      </c>
      <c r="C25" s="2" t="inlineStr">
        <is>
          <t>masonry</t>
        </is>
      </c>
      <c r="D25" s="2" t="inlineStr">
        <is>
          <t>El Paso, TX</t>
        </is>
      </c>
      <c r="E25" s="2" t="inlineStr">
        <is>
          <t>None</t>
        </is>
      </c>
      <c r="F25" s="2" t="inlineStr">
        <is>
          <t>Verified no website</t>
        </is>
      </c>
      <c r="G25" s="2" t="inlineStr">
        <is>
          <t>Not called</t>
        </is>
      </c>
      <c r="H25" s="2" t="inlineStr"/>
      <c r="I25" s="2" t="inlineStr"/>
      <c r="J25" s="4" t="inlineStr">
        <is>
          <t>4554 Hercules Ave, El Paso, TX 79904</t>
        </is>
      </c>
      <c r="K25" s="4" t="inlineStr">
        <is>
          <t>Small LLC formed 2020, principals Kevin W George and Margarita Flores; pavers, rock walls, concrete. Follow-up search found only BBB/Bizapedia/Yelp/BuildZoom listings, no website. BuildZoom score 100.</t>
        </is>
      </c>
      <c r="L25" s="4" t="inlineStr">
        <is>
          <t>https://www.yelp.com/biz/kmg-pavers-and-rockwalls-el-paso</t>
        </is>
      </c>
    </row>
    <row r="26">
      <c r="A26" s="2" t="inlineStr">
        <is>
          <t>Mr Rockwall</t>
        </is>
      </c>
      <c r="B26" s="2" t="inlineStr">
        <is>
          <t>(915) 803-7074</t>
        </is>
      </c>
      <c r="C26" s="2" t="inlineStr">
        <is>
          <t>masonry</t>
        </is>
      </c>
      <c r="D26" s="2" t="inlineStr">
        <is>
          <t>El Paso, TX</t>
        </is>
      </c>
      <c r="E26" s="2" t="inlineStr">
        <is>
          <t>None</t>
        </is>
      </c>
      <c r="F26" s="2" t="inlineStr">
        <is>
          <t>Verified no website</t>
        </is>
      </c>
      <c r="G26" s="2" t="inlineStr">
        <is>
          <t>Not called</t>
        </is>
      </c>
      <c r="H26" s="2" t="inlineStr"/>
      <c r="I26" s="2" t="inlineStr"/>
      <c r="J26" s="4" t="inlineStr">
        <is>
          <t>El Paso, TX 79928</t>
        </is>
      </c>
      <c r="K26" s="4" t="inlineStr">
        <is>
          <t>Rock walls, concrete, driveways, pavers; 79928 zip is the Horizon City/east side area. Follow-up search found only the Yelp listing, no website.</t>
        </is>
      </c>
      <c r="L26" s="4" t="inlineStr">
        <is>
          <t>https://www.yelp.com/biz/mr-rockwall-el-paso</t>
        </is>
      </c>
    </row>
    <row r="27">
      <c r="A27" s="2" t="inlineStr">
        <is>
          <t>Black Cactus Painting Contractor</t>
        </is>
      </c>
      <c r="B27" s="2" t="inlineStr">
        <is>
          <t>(915) 892-1334</t>
        </is>
      </c>
      <c r="C27" s="2" t="inlineStr">
        <is>
          <t>painting</t>
        </is>
      </c>
      <c r="D27" s="2" t="inlineStr">
        <is>
          <t>El Paso, TX</t>
        </is>
      </c>
      <c r="E27" s="2" t="inlineStr">
        <is>
          <t>None</t>
        </is>
      </c>
      <c r="F27" s="2" t="inlineStr">
        <is>
          <t>Verified no website</t>
        </is>
      </c>
      <c r="G27" s="2" t="inlineStr">
        <is>
          <t>Not called</t>
        </is>
      </c>
      <c r="H27" s="2" t="inlineStr"/>
      <c r="I27" s="2" t="inlineStr"/>
      <c r="J27" s="4" t="inlineStr">
        <is>
          <t>5833 Spanish Pl, El Paso, TX 79932</t>
        </is>
      </c>
      <c r="K27" s="4" t="inlineStr">
        <is>
          <t>Residential and commercial painting; accepts Zelle/Venmo/CashApp. Follow-up search found only Yelp/Yahoo Local/Nextdoor listings, no website.</t>
        </is>
      </c>
      <c r="L27" s="4" t="inlineStr">
        <is>
          <t>https://www.yelp.com/biz/black-cactus-painting-contractor-el-paso</t>
        </is>
      </c>
    </row>
    <row r="28">
      <c r="A28" s="2" t="inlineStr">
        <is>
          <t>JR Gomez Painting</t>
        </is>
      </c>
      <c r="B28" s="2" t="inlineStr">
        <is>
          <t>(915) 922-9880</t>
        </is>
      </c>
      <c r="C28" s="2" t="inlineStr">
        <is>
          <t>painting</t>
        </is>
      </c>
      <c r="D28" s="2" t="inlineStr">
        <is>
          <t>El Paso, TX</t>
        </is>
      </c>
      <c r="E28" s="2" t="inlineStr">
        <is>
          <t>None</t>
        </is>
      </c>
      <c r="F28" s="2" t="inlineStr">
        <is>
          <t>Verified no website</t>
        </is>
      </c>
      <c r="G28" s="2" t="inlineStr">
        <is>
          <t>Not called</t>
        </is>
      </c>
      <c r="H28" s="2" t="inlineStr"/>
      <c r="I28" s="2" t="inlineStr"/>
      <c r="J28" s="4" t="inlineStr">
        <is>
          <t>El Paso, TX 79930</t>
        </is>
      </c>
      <c r="K28" s="4" t="inlineStr">
        <is>
          <t>30+ years in business; interior/exterior painting and roof coating; BBB sole proprietorship (aka Jr Gomez Home Improvement). Follow-up search found only Yelp/BBB/Nextdoor, no website.</t>
        </is>
      </c>
      <c r="L28" s="4" t="inlineStr">
        <is>
          <t>https://www.yelp.com/biz/jr-gomez-painting-el-paso</t>
        </is>
      </c>
    </row>
    <row r="29">
      <c r="A29" s="2" t="inlineStr">
        <is>
          <t>Maintenance &amp; Painting</t>
        </is>
      </c>
      <c r="B29" s="2" t="inlineStr">
        <is>
          <t>(915) 691-0916</t>
        </is>
      </c>
      <c r="C29" s="2" t="inlineStr">
        <is>
          <t>painting</t>
        </is>
      </c>
      <c r="D29" s="2" t="inlineStr">
        <is>
          <t>El Paso, TX</t>
        </is>
      </c>
      <c r="E29" s="2" t="inlineStr">
        <is>
          <t>None</t>
        </is>
      </c>
      <c r="F29" s="3" t="inlineStr">
        <is>
          <t>Re-check first</t>
        </is>
      </c>
      <c r="G29" s="2" t="inlineStr">
        <is>
          <t>Not called</t>
        </is>
      </c>
      <c r="H29" s="2" t="inlineStr"/>
      <c r="I29" s="2" t="inlineStr"/>
      <c r="J29" s="4" t="inlineStr"/>
      <c r="K29" s="4" t="inlineStr">
        <is>
          <t>Phone from Yelp listing in search results. No website seen in searches, but no dedicated follow-up verification was run - confirm before outreach.</t>
        </is>
      </c>
      <c r="L29" s="4" t="inlineStr">
        <is>
          <t>https://www.yelp.com/biz/maintenance-and-painting-el-paso</t>
        </is>
      </c>
    </row>
    <row r="30">
      <c r="A30" s="2" t="inlineStr">
        <is>
          <t>The Curb Guy Painting &amp; Repair</t>
        </is>
      </c>
      <c r="B30" s="2" t="inlineStr">
        <is>
          <t>(915) 288-1348</t>
        </is>
      </c>
      <c r="C30" s="2" t="inlineStr">
        <is>
          <t>painting</t>
        </is>
      </c>
      <c r="D30" s="2" t="inlineStr">
        <is>
          <t>El Paso, TX</t>
        </is>
      </c>
      <c r="E30" s="2" t="inlineStr">
        <is>
          <t>None</t>
        </is>
      </c>
      <c r="F30" s="3" t="inlineStr">
        <is>
          <t>Re-check first</t>
        </is>
      </c>
      <c r="G30" s="2" t="inlineStr">
        <is>
          <t>Not called</t>
        </is>
      </c>
      <c r="H30" s="2" t="inlineStr"/>
      <c r="I30" s="2" t="inlineStr"/>
      <c r="J30" s="4" t="inlineStr"/>
      <c r="K30" s="4" t="inlineStr">
        <is>
          <t>Phone from Yelp listing. No website seen in searches; not individually re-verified - confirm before outreach.</t>
        </is>
      </c>
      <c r="L30" s="4" t="inlineStr">
        <is>
          <t>https://www.yelp.com/biz/the-curb-guy-painting-and-repair-el-paso</t>
        </is>
      </c>
    </row>
    <row r="31">
      <c r="A31" s="2" t="inlineStr">
        <is>
          <t>Loera'z Construction and Remodel</t>
        </is>
      </c>
      <c r="B31" s="2" t="inlineStr">
        <is>
          <t>(915) 346-9448</t>
        </is>
      </c>
      <c r="C31" s="2" t="inlineStr">
        <is>
          <t>remodeling</t>
        </is>
      </c>
      <c r="D31" s="2" t="inlineStr">
        <is>
          <t>El Paso, TX</t>
        </is>
      </c>
      <c r="E31" s="5" t="inlineStr">
        <is>
          <t>Facebook only</t>
        </is>
      </c>
      <c r="F31" s="2" t="inlineStr">
        <is>
          <t>Verified no website</t>
        </is>
      </c>
      <c r="G31" s="2" t="inlineStr">
        <is>
          <t>Not called</t>
        </is>
      </c>
      <c r="H31" s="2" t="inlineStr"/>
      <c r="I31" s="2" t="inlineStr"/>
      <c r="J31" s="4" t="inlineStr">
        <is>
          <t>3722 1/2 Nations Ave, El Paso, TX 79930</t>
        </is>
      </c>
      <c r="K31" s="4" t="inlineStr">
        <is>
          <t>Remodeling and flooring GC; active Facebook page (facebook.com/LoeraZRemodel), BBB and Yelp listings, no website found. Phone shown in directory listings (CitySquares/eBusinessPages).</t>
        </is>
      </c>
      <c r="L31" s="4" t="inlineStr">
        <is>
          <t>https://citysquares.com/b/loera-z-construction-and-remodel-22788275</t>
        </is>
      </c>
    </row>
    <row r="32">
      <c r="A32" s="2" t="inlineStr">
        <is>
          <t>American Roofing Company</t>
        </is>
      </c>
      <c r="B32" s="2" t="inlineStr">
        <is>
          <t>(915) 799-6168</t>
        </is>
      </c>
      <c r="C32" s="2" t="inlineStr">
        <is>
          <t>roofing</t>
        </is>
      </c>
      <c r="D32" s="2" t="inlineStr">
        <is>
          <t>El Paso, TX</t>
        </is>
      </c>
      <c r="E32" s="2" t="inlineStr">
        <is>
          <t>None</t>
        </is>
      </c>
      <c r="F32" s="2" t="inlineStr">
        <is>
          <t>Verified no website</t>
        </is>
      </c>
      <c r="G32" s="2" t="inlineStr">
        <is>
          <t>Not called</t>
        </is>
      </c>
      <c r="H32" s="2" t="inlineStr"/>
      <c r="I32" s="2" t="inlineStr"/>
      <c r="J32" s="4" t="inlineStr">
        <is>
          <t>10329 Hugg St, El Paso, TX 79924</t>
        </is>
      </c>
      <c r="K32" s="4" t="inlineStr">
        <is>
          <t>In business since 1994 per YP listing; follow-up search found only YP/BBB/Angi listings, no website. Caution: a different company 'American Roofing &amp; Remodeling' (americanroofandremodel.com, zip 79934) has a similar name - confirm identity on the call.</t>
        </is>
      </c>
      <c r="L32" s="4" t="inlineStr">
        <is>
          <t>https://www.yellowpages.com/el-paso-tx/mip/american-roofing-company-483397912</t>
        </is>
      </c>
    </row>
    <row r="33">
      <c r="A33" s="2" t="inlineStr">
        <is>
          <t>AV Roofing &amp; General Construction</t>
        </is>
      </c>
      <c r="B33" s="2" t="inlineStr">
        <is>
          <t>(915) 630-1027</t>
        </is>
      </c>
      <c r="C33" s="2" t="inlineStr">
        <is>
          <t>roofing</t>
        </is>
      </c>
      <c r="D33" s="2" t="inlineStr">
        <is>
          <t>El Paso, TX</t>
        </is>
      </c>
      <c r="E33" s="2" t="inlineStr">
        <is>
          <t>None</t>
        </is>
      </c>
      <c r="F33" s="2" t="inlineStr">
        <is>
          <t>Verified no website</t>
        </is>
      </c>
      <c r="G33" s="2" t="inlineStr">
        <is>
          <t>Not called</t>
        </is>
      </c>
      <c r="H33" s="2" t="inlineStr"/>
      <c r="I33" s="2" t="inlineStr"/>
      <c r="J33" s="4" t="inlineStr"/>
      <c r="K33" s="4" t="inlineStr">
        <is>
          <t>Yelp listing only; follow-up search for 'AV Roofing' El Paso surfaced no website for this business.</t>
        </is>
      </c>
      <c r="L33" s="4" t="inlineStr">
        <is>
          <t>https://www.yelp.com/biz/av-roofing-and-general-construction-el-paso</t>
        </is>
      </c>
    </row>
    <row r="34">
      <c r="A34" s="2" t="inlineStr">
        <is>
          <t>National Rubberized Roof Coating of El Paso, LLC</t>
        </is>
      </c>
      <c r="B34" s="2" t="inlineStr">
        <is>
          <t>(915) 329-9003</t>
        </is>
      </c>
      <c r="C34" s="2" t="inlineStr">
        <is>
          <t>roofing</t>
        </is>
      </c>
      <c r="D34" s="2" t="inlineStr">
        <is>
          <t>El Paso, TX</t>
        </is>
      </c>
      <c r="E34" s="5" t="inlineStr">
        <is>
          <t>Facebook only</t>
        </is>
      </c>
      <c r="F34" s="2" t="inlineStr">
        <is>
          <t>Verified no website</t>
        </is>
      </c>
      <c r="G34" s="2" t="inlineStr">
        <is>
          <t>Not called</t>
        </is>
      </c>
      <c r="H34" s="2" t="inlineStr"/>
      <c r="I34" s="2" t="inlineStr"/>
      <c r="J34" s="4" t="inlineStr">
        <is>
          <t>PO Box 13472, El Paso, TX 79913</t>
        </is>
      </c>
      <c r="K34" s="4" t="inlineStr">
        <is>
          <t>Active Facebook page; does rubberized roof coating / spray-foam roofing. A similarly named 'National Rubberized Roof' YP listing at 4536 Globe Willow Dr shows (575) 202-2773 - may be the same outfit.</t>
        </is>
      </c>
      <c r="L34" s="4" t="inlineStr">
        <is>
          <t>https://www.bbb.org/us/tx/el-paso/profile/roofing-spray-foam-insulation-contractors/national-rubberized-roof-coating-of-el-paso-l-l-c-0895-99142730</t>
        </is>
      </c>
    </row>
    <row r="35">
      <c r="A35" s="2" t="inlineStr">
        <is>
          <t>New Look Improvement</t>
        </is>
      </c>
      <c r="B35" s="2" t="inlineStr">
        <is>
          <t>(915) 775-1333</t>
        </is>
      </c>
      <c r="C35" s="2" t="inlineStr">
        <is>
          <t>siding</t>
        </is>
      </c>
      <c r="D35" s="2" t="inlineStr">
        <is>
          <t>El Paso, TX</t>
        </is>
      </c>
      <c r="E35" s="2" t="inlineStr">
        <is>
          <t>None</t>
        </is>
      </c>
      <c r="F35" s="3" t="inlineStr">
        <is>
          <t>Re-check first</t>
        </is>
      </c>
      <c r="G35" s="2" t="inlineStr">
        <is>
          <t>Not called</t>
        </is>
      </c>
      <c r="H35" s="2" t="inlineStr"/>
      <c r="I35" s="2" t="inlineStr"/>
      <c r="J35" s="4" t="inlineStr"/>
      <c r="K35" s="4" t="inlineStr">
        <is>
          <t>El Paso 79924 general contractor whose Yelp listing highlights siding work; no website surfaced in searches. Confirm siding focus on call.</t>
        </is>
      </c>
      <c r="L35" s="4" t="inlineStr">
        <is>
          <t>https://www.yelp.com/biz/new-look-improvement-el-paso-3</t>
        </is>
      </c>
    </row>
    <row r="36">
      <c r="A36" s="2" t="inlineStr">
        <is>
          <t>Alvarado Plastering &amp; Stucco</t>
        </is>
      </c>
      <c r="B36" s="2" t="inlineStr">
        <is>
          <t>(915) 691-3870</t>
        </is>
      </c>
      <c r="C36" s="2" t="inlineStr">
        <is>
          <t>stucco</t>
        </is>
      </c>
      <c r="D36" s="2" t="inlineStr">
        <is>
          <t>El Paso, TX</t>
        </is>
      </c>
      <c r="E36" s="2" t="inlineStr">
        <is>
          <t>None</t>
        </is>
      </c>
      <c r="F36" s="2" t="inlineStr">
        <is>
          <t>Verified no website</t>
        </is>
      </c>
      <c r="G36" s="2" t="inlineStr">
        <is>
          <t>Not called</t>
        </is>
      </c>
      <c r="H36" s="2" t="inlineStr"/>
      <c r="I36" s="2" t="inlineStr"/>
      <c r="J36" s="4" t="inlineStr"/>
      <c r="K36" s="4" t="inlineStr">
        <is>
          <t>Yelp stucco-services listing; no website surfaced in searches.</t>
        </is>
      </c>
      <c r="L36" s="4" t="inlineStr">
        <is>
          <t>https://www.yelp.com/biz/alvarado-plastering-and-stucco-el-paso</t>
        </is>
      </c>
    </row>
    <row r="37">
      <c r="A37" s="2" t="inlineStr">
        <is>
          <t>Chacon Plastering, Inc.</t>
        </is>
      </c>
      <c r="B37" s="2" t="inlineStr">
        <is>
          <t>(915) 774-0966</t>
        </is>
      </c>
      <c r="C37" s="2" t="inlineStr">
        <is>
          <t>stucco</t>
        </is>
      </c>
      <c r="D37" s="2" t="inlineStr">
        <is>
          <t>El Paso, TX</t>
        </is>
      </c>
      <c r="E37" s="2" t="inlineStr">
        <is>
          <t>None</t>
        </is>
      </c>
      <c r="F37" s="2" t="inlineStr">
        <is>
          <t>Verified no website</t>
        </is>
      </c>
      <c r="G37" s="2" t="inlineStr">
        <is>
          <t>Not called</t>
        </is>
      </c>
      <c r="H37" s="2" t="inlineStr"/>
      <c r="I37" s="2" t="inlineStr"/>
      <c r="J37" s="4" t="inlineStr"/>
      <c r="K37" s="4" t="inlineStr">
        <is>
          <t>Commercial plastering subcontractor listed on TheBlueBook ProView; no website surfaced in searches.</t>
        </is>
      </c>
      <c r="L37" s="4" t="inlineStr">
        <is>
          <t>https://www.thebluebook.com/iProView/1088717/chacon-plastering-inc/subcontractors/</t>
        </is>
      </c>
    </row>
    <row r="38">
      <c r="A38" s="2" t="inlineStr">
        <is>
          <t>Enchantment Stucco</t>
        </is>
      </c>
      <c r="B38" s="2" t="inlineStr">
        <is>
          <t>(575) 405-1342</t>
        </is>
      </c>
      <c r="C38" s="2" t="inlineStr">
        <is>
          <t>stucco</t>
        </is>
      </c>
      <c r="D38" s="2" t="inlineStr">
        <is>
          <t>El Paso, TX</t>
        </is>
      </c>
      <c r="E38" s="2" t="inlineStr">
        <is>
          <t>None</t>
        </is>
      </c>
      <c r="F38" s="2" t="inlineStr">
        <is>
          <t>Verified no website</t>
        </is>
      </c>
      <c r="G38" s="2" t="inlineStr">
        <is>
          <t>Not called</t>
        </is>
      </c>
      <c r="H38" s="2" t="inlineStr"/>
      <c r="I38" s="2" t="inlineStr"/>
      <c r="J38" s="4" t="inlineStr"/>
      <c r="K38" s="4" t="inlineStr">
        <is>
          <t>Only web presence is a free UENI template page (ueniweb.com subdomain), no domain of their own - good upgrade pitch. Phone has a Las Cruces-area (575) code but listed as El Paso construction company.</t>
        </is>
      </c>
      <c r="L38" s="4" t="inlineStr">
        <is>
          <t>https://enchantmentstucco.ueniweb.com/</t>
        </is>
      </c>
    </row>
    <row r="39">
      <c r="A39" s="2" t="inlineStr">
        <is>
          <t>L&amp;A Stucco and Drywall Repair</t>
        </is>
      </c>
      <c r="B39" s="2" t="inlineStr">
        <is>
          <t>(915) 234-8627</t>
        </is>
      </c>
      <c r="C39" s="2" t="inlineStr">
        <is>
          <t>stucco</t>
        </is>
      </c>
      <c r="D39" s="2" t="inlineStr">
        <is>
          <t>El Paso, TX</t>
        </is>
      </c>
      <c r="E39" s="2" t="inlineStr">
        <is>
          <t>None</t>
        </is>
      </c>
      <c r="F39" s="2" t="inlineStr">
        <is>
          <t>Verified no website</t>
        </is>
      </c>
      <c r="G39" s="2" t="inlineStr">
        <is>
          <t>Not called</t>
        </is>
      </c>
      <c r="H39" s="2" t="inlineStr"/>
      <c r="I39" s="2" t="inlineStr"/>
      <c r="J39" s="4" t="inlineStr"/>
      <c r="K39" s="4" t="inlineStr">
        <is>
          <t>Nextdoor business page only; does both stucco and drywall repair - classic owner-operator profile.</t>
        </is>
      </c>
      <c r="L39" s="4" t="inlineStr">
        <is>
          <t>https://nextdoor.com/pages/la-stucco-and-drywall-repair-el-paso-tx/</t>
        </is>
      </c>
    </row>
    <row r="40">
      <c r="A40" s="2" t="inlineStr">
        <is>
          <t>Reyes Plastering Group LLC</t>
        </is>
      </c>
      <c r="B40" s="2" t="inlineStr">
        <is>
          <t>(915) 315-5320</t>
        </is>
      </c>
      <c r="C40" s="2" t="inlineStr">
        <is>
          <t>stucco</t>
        </is>
      </c>
      <c r="D40" s="2" t="inlineStr">
        <is>
          <t>El Paso, TX</t>
        </is>
      </c>
      <c r="E40" s="5" t="inlineStr">
        <is>
          <t>Facebook only</t>
        </is>
      </c>
      <c r="F40" s="2" t="inlineStr">
        <is>
          <t>Verified no website</t>
        </is>
      </c>
      <c r="G40" s="2" t="inlineStr">
        <is>
          <t>Not called</t>
        </is>
      </c>
      <c r="H40" s="2" t="inlineStr"/>
      <c r="I40" s="2" t="inlineStr"/>
      <c r="J40" s="4" t="inlineStr"/>
      <c r="K40" s="4" t="inlineStr">
        <is>
          <t>Facebook page created ~2023; services per page: traditional and synthetic stucco, decorative textures/plaster, exterior painting, crack and moisture repair.</t>
        </is>
      </c>
      <c r="L40" s="4" t="inlineStr">
        <is>
          <t>https://www.facebook.com/p/Reyes-plastering-group-LLC-61551754451931/</t>
        </is>
      </c>
    </row>
    <row r="41">
      <c r="A41" s="2" t="inlineStr">
        <is>
          <t>Fast and Easy Tile Installation</t>
        </is>
      </c>
      <c r="B41" s="2" t="inlineStr">
        <is>
          <t>(915) 262-5413</t>
        </is>
      </c>
      <c r="C41" s="2" t="inlineStr">
        <is>
          <t>tile</t>
        </is>
      </c>
      <c r="D41" s="2" t="inlineStr">
        <is>
          <t>El Paso, TX</t>
        </is>
      </c>
      <c r="E41" s="2" t="inlineStr">
        <is>
          <t>None</t>
        </is>
      </c>
      <c r="F41" s="2" t="inlineStr">
        <is>
          <t>Verified no website</t>
        </is>
      </c>
      <c r="G41" s="2" t="inlineStr">
        <is>
          <t>Not called</t>
        </is>
      </c>
      <c r="H41" s="2" t="inlineStr"/>
      <c r="I41" s="2" t="inlineStr"/>
      <c r="J41" s="4" t="inlineStr">
        <is>
          <t>3704 Tierra Aurora, El Paso, TX 79912</t>
        </is>
      </c>
      <c r="K41" s="4" t="inlineStr">
        <is>
          <t>Owner Joe Lopez, sole proprietor since 2016; mobile flooring showroom; BBB accredited. Rated 4.5 overall per HomeAdvisor-type directories (not confirmed Google). Follow-up search found only Angi/Thumbtack/HomeAdvisor/BBB/Yelp/Networx listings, no website.</t>
        </is>
      </c>
      <c r="L41" s="4" t="inlineStr">
        <is>
          <t>https://www.yelp.com/biz/fast-and-easy-tile-installation-el-paso</t>
        </is>
      </c>
    </row>
    <row r="42">
      <c r="A42" s="2" t="inlineStr">
        <is>
          <t>Next Tree Service</t>
        </is>
      </c>
      <c r="B42" s="2" t="inlineStr">
        <is>
          <t>(915) 867-3997</t>
        </is>
      </c>
      <c r="C42" s="2" t="inlineStr">
        <is>
          <t>tree service</t>
        </is>
      </c>
      <c r="D42" s="2" t="inlineStr">
        <is>
          <t>El Paso, TX</t>
        </is>
      </c>
      <c r="E42" s="5" t="inlineStr">
        <is>
          <t>Facebook only</t>
        </is>
      </c>
      <c r="F42" s="3" t="inlineStr">
        <is>
          <t>Re-check first</t>
        </is>
      </c>
      <c r="G42" s="2" t="inlineStr">
        <is>
          <t>Not called</t>
        </is>
      </c>
      <c r="H42" s="2" t="inlineStr"/>
      <c r="I42" s="2" t="inlineStr"/>
      <c r="J42" s="4" t="inlineStr"/>
      <c r="K42" s="4" t="inlineStr">
        <is>
          <t>Tree trimming, removal and care; phone shown on Facebook page listing. New-looking page; no website found in search, but not individually re-verified.</t>
        </is>
      </c>
      <c r="L42" s="4" t="inlineStr">
        <is>
          <t>https://www.facebook.com/p/Next-Tree-Service-61571608330097/</t>
        </is>
      </c>
    </row>
    <row r="43">
      <c r="A43" s="2" t="inlineStr">
        <is>
          <t>DC Mobile Welding</t>
        </is>
      </c>
      <c r="B43" s="2" t="inlineStr">
        <is>
          <t>(915) 588-4895</t>
        </is>
      </c>
      <c r="C43" s="2" t="inlineStr">
        <is>
          <t>welding</t>
        </is>
      </c>
      <c r="D43" s="2" t="inlineStr">
        <is>
          <t>El Paso, TX</t>
        </is>
      </c>
      <c r="E43" s="5" t="inlineStr">
        <is>
          <t>Facebook only</t>
        </is>
      </c>
      <c r="F43" s="2" t="inlineStr">
        <is>
          <t>Verified no website</t>
        </is>
      </c>
      <c r="G43" s="2" t="inlineStr">
        <is>
          <t>Not called</t>
        </is>
      </c>
      <c r="H43" s="2" t="inlineStr"/>
      <c r="I43" s="2" t="inlineStr"/>
      <c r="J43" s="4" t="inlineStr">
        <is>
          <t>10821 Hitchcock Ave, El Paso, TX 79935</t>
        </is>
      </c>
      <c r="K43" s="4" t="inlineStr">
        <is>
          <t>Owner Danny Campbell, in business since 2011 per BBB. Caution: an akdcmobilewelding.com site appears in search but its details do not match the El Paso BBB profile and it appears to be an unrelated Alaska company - confirm before calling.</t>
        </is>
      </c>
      <c r="L43" s="4" t="inlineStr">
        <is>
          <t>https://yellow-pages.us.com/texas/el-paso/dc-mobile-welding-b39540653</t>
        </is>
      </c>
    </row>
    <row r="44">
      <c r="A44" s="2" t="inlineStr">
        <is>
          <t>KC Welding</t>
        </is>
      </c>
      <c r="B44" s="2" t="inlineStr">
        <is>
          <t>(915) 859-9449</t>
        </is>
      </c>
      <c r="C44" s="2" t="inlineStr">
        <is>
          <t>welding</t>
        </is>
      </c>
      <c r="D44" s="2" t="inlineStr">
        <is>
          <t>El Paso, TX</t>
        </is>
      </c>
      <c r="E44" s="5" t="inlineStr">
        <is>
          <t>Facebook only</t>
        </is>
      </c>
      <c r="F44" s="2" t="inlineStr">
        <is>
          <t>Verified no website</t>
        </is>
      </c>
      <c r="G44" s="2" t="inlineStr">
        <is>
          <t>Not called</t>
        </is>
      </c>
      <c r="H44" s="2" t="inlineStr"/>
      <c r="I44" s="2" t="inlineStr"/>
      <c r="J44" s="4" t="inlineStr">
        <is>
          <t>249 Princeton Way, El Paso, TX 79907</t>
        </is>
      </c>
      <c r="K44" s="4" t="inlineStr">
        <is>
          <t>ASME-6G certified, mobile welding trucks, machine shop. Follow-up search found Facebook page (facebook.com/KCWeldingService) and directory listings only; kc-welding.com belongs to unrelated companies elsewhere.</t>
        </is>
      </c>
      <c r="L44" s="4" t="inlineStr">
        <is>
          <t>https://www.yelp.com/biz/kc-welding-el-paso</t>
        </is>
      </c>
    </row>
    <row r="45">
      <c r="A45" s="2" t="inlineStr">
        <is>
          <t>Lone Star Welding</t>
        </is>
      </c>
      <c r="B45" s="2" t="inlineStr">
        <is>
          <t>(915) 855-1742</t>
        </is>
      </c>
      <c r="C45" s="2" t="inlineStr">
        <is>
          <t>welding</t>
        </is>
      </c>
      <c r="D45" s="2" t="inlineStr">
        <is>
          <t>El Paso, TX</t>
        </is>
      </c>
      <c r="E45" s="2" t="inlineStr">
        <is>
          <t>None</t>
        </is>
      </c>
      <c r="F45" s="2" t="inlineStr">
        <is>
          <t>Verified no website</t>
        </is>
      </c>
      <c r="G45" s="2" t="inlineStr">
        <is>
          <t>Not called</t>
        </is>
      </c>
      <c r="H45" s="2" t="inlineStr"/>
      <c r="I45" s="2" t="inlineStr"/>
      <c r="J45" s="4" t="inlineStr">
        <is>
          <t>11512 Confederate Dr, El Paso, TX 79936</t>
        </is>
      </c>
      <c r="K45" s="4" t="inlineStr">
        <is>
          <t>Structural steel fabrication since 1984, owner Jerry Oxner, BBB A+. Follow-up search found only Yelp/BBB/BlueBook/Procore/YP listings, no website.</t>
        </is>
      </c>
      <c r="L45" s="4" t="inlineStr">
        <is>
          <t>https://www.yelp.com/biz/lone-star-welding-el-paso</t>
        </is>
      </c>
    </row>
    <row r="46">
      <c r="A46" s="2" t="inlineStr">
        <is>
          <t>Chuco Built Roofing</t>
        </is>
      </c>
      <c r="B46" s="2" t="inlineStr">
        <is>
          <t>(915) 204-5574</t>
        </is>
      </c>
      <c r="C46" s="2" t="inlineStr">
        <is>
          <t>roofing</t>
        </is>
      </c>
      <c r="D46" s="2" t="inlineStr">
        <is>
          <t>Horizon City, TX</t>
        </is>
      </c>
      <c r="E46" s="5" t="inlineStr">
        <is>
          <t>Facebook only</t>
        </is>
      </c>
      <c r="F46" s="2" t="inlineStr">
        <is>
          <t>Verified no website</t>
        </is>
      </c>
      <c r="G46" s="2" t="inlineStr">
        <is>
          <t>Not called</t>
        </is>
      </c>
      <c r="H46" s="2" t="inlineStr"/>
      <c r="I46" s="2" t="inlineStr"/>
      <c r="J46" s="4" t="inlineStr">
        <is>
          <t>14485 Encantado Dr, Horizon City, TX 79928</t>
        </is>
      </c>
      <c r="K46" s="4" t="inlineStr">
        <is>
          <t>Owner-operator (Oscar Salinas per Nextdoor page); active Facebook (facebook.com/chucobuiltroofing) and Instagram (@chucobuilt); BBB profile exists; no website found in follow-up search.</t>
        </is>
      </c>
      <c r="L46" s="4" t="inlineStr">
        <is>
          <t>https://www.yelp.com/biz/chuco-built-roofing-horizon-city</t>
        </is>
      </c>
    </row>
    <row r="47">
      <c r="A47" s="2" t="inlineStr">
        <is>
          <t>Patches Drywall</t>
        </is>
      </c>
      <c r="B47" s="2" t="inlineStr">
        <is>
          <t>(575) 571-1191</t>
        </is>
      </c>
      <c r="C47" s="2" t="inlineStr">
        <is>
          <t>drywall</t>
        </is>
      </c>
      <c r="D47" s="2" t="inlineStr">
        <is>
          <t>Las Cruces, NM</t>
        </is>
      </c>
      <c r="E47" s="5" t="inlineStr">
        <is>
          <t>Facebook only</t>
        </is>
      </c>
      <c r="F47" s="2" t="inlineStr">
        <is>
          <t>Verified no website</t>
        </is>
      </c>
      <c r="G47" s="2" t="inlineStr">
        <is>
          <t>Not called</t>
        </is>
      </c>
      <c r="H47" s="2" t="inlineStr"/>
      <c r="I47" s="2" t="inlineStr"/>
      <c r="J47" s="4" t="inlineStr">
        <is>
          <t>3100 W Picacho Ave, Las Cruces, NM 88007</t>
        </is>
      </c>
      <c r="K47" s="4" t="inlineStr">
        <is>
          <t>Locally owned 25+ yrs; also stucco, tile, painting, elastomeric roof coating; Facebook page facebook.com/PatchesDrywallLc</t>
        </is>
      </c>
      <c r="L47" s="4" t="inlineStr">
        <is>
          <t>https://www.yelp.com/biz/patches-drywall-las-cruces</t>
        </is>
      </c>
    </row>
    <row r="48">
      <c r="A48" s="2" t="inlineStr">
        <is>
          <t>Vaquero Fence Co</t>
        </is>
      </c>
      <c r="B48" s="2" t="inlineStr">
        <is>
          <t>(575) 532-9043</t>
        </is>
      </c>
      <c r="C48" s="2" t="inlineStr">
        <is>
          <t>fencing</t>
        </is>
      </c>
      <c r="D48" s="2" t="inlineStr">
        <is>
          <t>Las Cruces, NM</t>
        </is>
      </c>
      <c r="E48" s="5" t="inlineStr">
        <is>
          <t>Facebook only</t>
        </is>
      </c>
      <c r="F48" s="2" t="inlineStr">
        <is>
          <t>Verified no website</t>
        </is>
      </c>
      <c r="G48" s="2" t="inlineStr">
        <is>
          <t>Not called</t>
        </is>
      </c>
      <c r="H48" s="2" t="inlineStr"/>
      <c r="I48" s="2" t="inlineStr"/>
      <c r="J48" s="4" t="inlineStr">
        <is>
          <t>2305 Montana Ave, Las Cruces, NM 88001</t>
        </is>
      </c>
      <c r="K48" s="4" t="inlineStr">
        <is>
          <t>Owner Jose Coronado; ~25 years in business; BBB accredited since 2009; chain link, wood, wrought iron, automated gates; no site found, only Facebook page and directory listings</t>
        </is>
      </c>
      <c r="L48" s="4" t="inlineStr">
        <is>
          <t>https://www.yelp.com/biz/vaquero-fence-las-cruces</t>
        </is>
      </c>
    </row>
    <row r="49">
      <c r="A49" s="2" t="inlineStr">
        <is>
          <t>Affordable Garage Doors</t>
        </is>
      </c>
      <c r="B49" s="2" t="inlineStr">
        <is>
          <t>(575) 644-0309</t>
        </is>
      </c>
      <c r="C49" s="2" t="inlineStr">
        <is>
          <t>garage doors</t>
        </is>
      </c>
      <c r="D49" s="2" t="inlineStr">
        <is>
          <t>Las Cruces, NM</t>
        </is>
      </c>
      <c r="E49" s="2" t="inlineStr">
        <is>
          <t>None</t>
        </is>
      </c>
      <c r="F49" s="2" t="inlineStr">
        <is>
          <t>Verified no website</t>
        </is>
      </c>
      <c r="G49" s="2" t="inlineStr">
        <is>
          <t>Not called</t>
        </is>
      </c>
      <c r="H49" s="2" t="inlineStr"/>
      <c r="I49" s="2" t="inlineStr"/>
      <c r="J49" s="4" t="inlineStr">
        <is>
          <t>5820 Dune Dr, Las Cruces, NM 88012</t>
        </is>
      </c>
      <c r="K49" s="4" t="inlineStr">
        <is>
          <t>Owner Rodolfo Escarcega, ~24 yrs in business, 24-hr emergency service; second location 1910 N Valley Dr with phone (575) 647-2277; BBB profile, no website</t>
        </is>
      </c>
      <c r="L49" s="4" t="inlineStr">
        <is>
          <t>https://www.yelp.com/biz/affordable-garage-doors-las-cruces-3</t>
        </is>
      </c>
    </row>
    <row r="50">
      <c r="A50" s="2" t="inlineStr">
        <is>
          <t>J's Handyman Services</t>
        </is>
      </c>
      <c r="B50" s="2" t="inlineStr">
        <is>
          <t>(575) 621-1424</t>
        </is>
      </c>
      <c r="C50" s="2" t="inlineStr">
        <is>
          <t>handyman</t>
        </is>
      </c>
      <c r="D50" s="2" t="inlineStr">
        <is>
          <t>Las Cruces, NM</t>
        </is>
      </c>
      <c r="E50" s="2" t="inlineStr">
        <is>
          <t>None</t>
        </is>
      </c>
      <c r="F50" s="2" t="inlineStr">
        <is>
          <t>Verified no website</t>
        </is>
      </c>
      <c r="G50" s="2" t="inlineStr">
        <is>
          <t>Not called</t>
        </is>
      </c>
      <c r="H50" s="2" t="inlineStr"/>
      <c r="I50" s="2" t="inlineStr"/>
      <c r="J50" s="4" t="inlineStr">
        <is>
          <t>Las Cruces, NM 88012</t>
        </is>
      </c>
      <c r="K50" s="4" t="inlineStr">
        <is>
          <t>Owner-operator Jaime (J's Handyman Services LLC); positive Yelp reviews; no website found anywhere</t>
        </is>
      </c>
      <c r="L50" s="4" t="inlineStr">
        <is>
          <t>https://www.yelp.com/biz/j-s-handyman-services-las-cruces</t>
        </is>
      </c>
    </row>
    <row r="51">
      <c r="A51" s="2" t="inlineStr">
        <is>
          <t>Royalty Handyman Services</t>
        </is>
      </c>
      <c r="B51" s="2" t="inlineStr">
        <is>
          <t>(575) 200-2773</t>
        </is>
      </c>
      <c r="C51" s="2" t="inlineStr">
        <is>
          <t>handyman</t>
        </is>
      </c>
      <c r="D51" s="2" t="inlineStr">
        <is>
          <t>Las Cruces, NM</t>
        </is>
      </c>
      <c r="E51" s="5" t="inlineStr">
        <is>
          <t>Facebook only</t>
        </is>
      </c>
      <c r="F51" s="2" t="inlineStr">
        <is>
          <t>Verified no website</t>
        </is>
      </c>
      <c r="G51" s="2" t="inlineStr">
        <is>
          <t>Not called</t>
        </is>
      </c>
      <c r="H51" s="2" t="inlineStr"/>
      <c r="I51" s="2" t="inlineStr"/>
      <c r="J51" s="4" t="inlineStr">
        <is>
          <t>2964 Onate Rd, Las Cruces, NM 88007</t>
        </is>
      </c>
      <c r="K51" s="4" t="inlineStr">
        <is>
          <t>Repairs, doors, painting, stucco, bathroom remodels; two Facebook pages found, no website</t>
        </is>
      </c>
      <c r="L51" s="4" t="inlineStr">
        <is>
          <t>https://www.yelp.com/biz/royalty-handyman-services-las-cruces-2</t>
        </is>
      </c>
    </row>
    <row r="52">
      <c r="A52" s="2" t="inlineStr">
        <is>
          <t>Wagner Handyman Services</t>
        </is>
      </c>
      <c r="B52" s="2" t="inlineStr">
        <is>
          <t>(575) 496-9128</t>
        </is>
      </c>
      <c r="C52" s="2" t="inlineStr">
        <is>
          <t>handyman</t>
        </is>
      </c>
      <c r="D52" s="2" t="inlineStr">
        <is>
          <t>Las Cruces, NM</t>
        </is>
      </c>
      <c r="E52" s="2" t="inlineStr">
        <is>
          <t>None</t>
        </is>
      </c>
      <c r="F52" s="2" t="inlineStr">
        <is>
          <t>Verified no website</t>
        </is>
      </c>
      <c r="G52" s="2" t="inlineStr">
        <is>
          <t>Not called</t>
        </is>
      </c>
      <c r="H52" s="2" t="inlineStr"/>
      <c r="I52" s="2" t="inlineStr"/>
      <c r="J52" s="4" t="inlineStr">
        <is>
          <t>926 N Tornillo St, Las Cruces, NM 88001</t>
        </is>
      </c>
      <c r="K52" s="4" t="inlineStr">
        <is>
          <t>Small owner-operator; listed only on Yelp/Manta/directories, no website found</t>
        </is>
      </c>
      <c r="L52" s="4" t="inlineStr">
        <is>
          <t>https://www.yelp.com/biz/wagner-handyman-services-las-cruces</t>
        </is>
      </c>
    </row>
    <row r="53">
      <c r="A53" s="2" t="inlineStr">
        <is>
          <t>Affordable Handyman</t>
        </is>
      </c>
      <c r="B53" s="2" t="inlineStr">
        <is>
          <t>(575) 915-5409</t>
        </is>
      </c>
      <c r="C53" s="2" t="inlineStr">
        <is>
          <t>handyman/garage doors</t>
        </is>
      </c>
      <c r="D53" s="2" t="inlineStr">
        <is>
          <t>Las Cruces, NM</t>
        </is>
      </c>
      <c r="E53" s="2" t="inlineStr">
        <is>
          <t>None</t>
        </is>
      </c>
      <c r="F53" s="2" t="inlineStr">
        <is>
          <t>Verified no website</t>
        </is>
      </c>
      <c r="G53" s="2" t="inlineStr">
        <is>
          <t>Not called</t>
        </is>
      </c>
      <c r="H53" s="2" t="inlineStr"/>
      <c r="I53" s="2" t="inlineStr"/>
      <c r="J53" s="4" t="inlineStr"/>
      <c r="K53" s="4" t="inlineStr">
        <is>
          <t>Yelp lists under Garage Door Services/handyman; phone seen in Yelp search results; no website surfaced in any search - lighter verification than other rows, confirm at call time</t>
        </is>
      </c>
      <c r="L53" s="4" t="inlineStr">
        <is>
          <t>https://www.yelp.com/biz/affordable-handyman-las-cruces</t>
        </is>
      </c>
    </row>
    <row r="54">
      <c r="A54" s="2" t="inlineStr">
        <is>
          <t>American Great Southwest Hardscapes (AGSH)</t>
        </is>
      </c>
      <c r="B54" s="2" t="inlineStr">
        <is>
          <t>(575) 202-2212</t>
        </is>
      </c>
      <c r="C54" s="2" t="inlineStr">
        <is>
          <t>masonry/concrete</t>
        </is>
      </c>
      <c r="D54" s="2" t="inlineStr">
        <is>
          <t>Las Cruces, NM</t>
        </is>
      </c>
      <c r="E54" s="5" t="inlineStr">
        <is>
          <t>Facebook only</t>
        </is>
      </c>
      <c r="F54" s="2" t="inlineStr">
        <is>
          <t>Verified no website</t>
        </is>
      </c>
      <c r="G54" s="2" t="inlineStr">
        <is>
          <t>Not called</t>
        </is>
      </c>
      <c r="H54" s="2" t="inlineStr"/>
      <c r="I54" s="2" t="inlineStr"/>
      <c r="J54" s="4" t="inlineStr">
        <is>
          <t>5090 Comanche Trl, Las Cruces, NM 88012</t>
        </is>
      </c>
      <c r="K54" s="4" t="inlineStr">
        <is>
          <t>40+ yrs experience; block walls, driveways, patios, foundations, masonry; Facebook page facebook.com/agshlc, no website</t>
        </is>
      </c>
      <c r="L54" s="4" t="inlineStr">
        <is>
          <t>https://www.yelp.com/biz/american-great-southwest-hardscapes-las-cruces</t>
        </is>
      </c>
    </row>
    <row r="55">
      <c r="A55" s="2" t="inlineStr">
        <is>
          <t>Arellano's Painting</t>
        </is>
      </c>
      <c r="B55" s="2" t="inlineStr">
        <is>
          <t>(915) 238-5479</t>
        </is>
      </c>
      <c r="C55" s="2" t="inlineStr">
        <is>
          <t>painting</t>
        </is>
      </c>
      <c r="D55" s="2" t="inlineStr">
        <is>
          <t>Las Cruces, NM</t>
        </is>
      </c>
      <c r="E55" s="2" t="inlineStr">
        <is>
          <t>None</t>
        </is>
      </c>
      <c r="F55" s="2" t="inlineStr">
        <is>
          <t>Verified no website</t>
        </is>
      </c>
      <c r="G55" s="2" t="inlineStr">
        <is>
          <t>Not called</t>
        </is>
      </c>
      <c r="H55" s="2" t="inlineStr"/>
      <c r="I55" s="2" t="inlineStr"/>
      <c r="J55" s="4" t="inlineStr">
        <is>
          <t>Las Cruces, NM 88012</t>
        </is>
      </c>
      <c r="K55" s="4" t="inlineStr">
        <is>
          <t>13+ yrs experience; interior/exterior painting, drywall repair, roof coating, stucco repair; 130 photos on Yelp, no website found anywhere</t>
        </is>
      </c>
      <c r="L55" s="4" t="inlineStr">
        <is>
          <t>https://www.yelp.com/biz/arellanos-painting-las-cruces</t>
        </is>
      </c>
    </row>
    <row r="56">
      <c r="A56" s="2" t="inlineStr">
        <is>
          <t>RG Painting</t>
        </is>
      </c>
      <c r="B56" s="2" t="inlineStr">
        <is>
          <t>(575) 213-8260</t>
        </is>
      </c>
      <c r="C56" s="2" t="inlineStr">
        <is>
          <t>painting</t>
        </is>
      </c>
      <c r="D56" s="2" t="inlineStr">
        <is>
          <t>Las Cruces, NM</t>
        </is>
      </c>
      <c r="E56" s="2" t="inlineStr">
        <is>
          <t>None</t>
        </is>
      </c>
      <c r="F56" s="2" t="inlineStr">
        <is>
          <t>Verified no website</t>
        </is>
      </c>
      <c r="G56" s="2" t="inlineStr">
        <is>
          <t>Not called</t>
        </is>
      </c>
      <c r="H56" s="2" t="inlineStr"/>
      <c r="I56" s="2" t="inlineStr"/>
      <c r="J56" s="4" t="inlineStr">
        <is>
          <t>Las Cruces, NM 88001</t>
        </is>
      </c>
      <c r="K56" s="4" t="inlineStr">
        <is>
          <t>20 yrs experience; 5.0 rating on Angi/HomeAdvisor (not Google); interior/exterior, roof coating, epoxy floors, cabinets; only directory listings found - double-check the generic lead-gen site painternm.com is unrelated before calling</t>
        </is>
      </c>
      <c r="L56" s="4" t="inlineStr">
        <is>
          <t>https://www.yelp.com/biz/rg-painting-las-cruces</t>
        </is>
      </c>
    </row>
    <row r="57">
      <c r="A57" s="2" t="inlineStr">
        <is>
          <t>A&amp;J Plumbing</t>
        </is>
      </c>
      <c r="B57" s="2" t="inlineStr">
        <is>
          <t>(575) 520-2478</t>
        </is>
      </c>
      <c r="C57" s="2" t="inlineStr">
        <is>
          <t>plumbing</t>
        </is>
      </c>
      <c r="D57" s="2" t="inlineStr">
        <is>
          <t>Las Cruces, NM</t>
        </is>
      </c>
      <c r="E57" s="2" t="inlineStr">
        <is>
          <t>None</t>
        </is>
      </c>
      <c r="F57" s="2" t="inlineStr">
        <is>
          <t>Verified no website</t>
        </is>
      </c>
      <c r="G57" s="2" t="inlineStr">
        <is>
          <t>Not called</t>
        </is>
      </c>
      <c r="H57" s="2" t="inlineStr"/>
      <c r="I57" s="2" t="inlineStr"/>
      <c r="J57" s="4" t="inlineStr">
        <is>
          <t>4625 Firefly Rd, Las Cruces, NM 88011</t>
        </is>
      </c>
      <c r="K57" s="4" t="inlineStr">
        <is>
          <t>Family owned since 1998; 5.0 on HomeAdvisor (not Google); licensed for plumbing and natural gas fitting; drains, water heaters; no website found</t>
        </is>
      </c>
      <c r="L57" s="4" t="inlineStr">
        <is>
          <t>https://www.yelp.com/biz/a-and-j-plumbing-las-cruces</t>
        </is>
      </c>
    </row>
    <row r="58">
      <c r="A58" s="2" t="inlineStr">
        <is>
          <t>G. Bishop Roofing Co</t>
        </is>
      </c>
      <c r="B58" s="2" t="inlineStr">
        <is>
          <t>(505) 527-2077</t>
        </is>
      </c>
      <c r="C58" s="2" t="inlineStr">
        <is>
          <t>roofing</t>
        </is>
      </c>
      <c r="D58" s="2" t="inlineStr">
        <is>
          <t>Las Cruces, NM</t>
        </is>
      </c>
      <c r="E58" s="5" t="inlineStr">
        <is>
          <t>Facebook only</t>
        </is>
      </c>
      <c r="F58" s="2" t="inlineStr">
        <is>
          <t>Verified no website</t>
        </is>
      </c>
      <c r="G58" s="2" t="inlineStr">
        <is>
          <t>Not called</t>
        </is>
      </c>
      <c r="H58" s="2" t="inlineStr"/>
      <c r="I58" s="2" t="inlineStr"/>
      <c r="J58" s="4" t="inlineStr">
        <is>
          <t>1730 W Hadley Ave, Las Cruces, NM 88005</t>
        </is>
      </c>
      <c r="K58" s="4" t="inlineStr">
        <is>
          <t>Phone listed with legacy 505 area code (Las Cruces switched to 575 in 2007) - verify on first call; BBB profile and Facebook page facebook.com/gbishoproofing, no website</t>
        </is>
      </c>
      <c r="L58" s="4" t="inlineStr">
        <is>
          <t>https://www.yelp.com/biz/g-bishop-roofing-las-cruces</t>
        </is>
      </c>
    </row>
    <row r="59">
      <c r="A59" s="2" t="inlineStr">
        <is>
          <t>Smith Roofing, Inc.</t>
        </is>
      </c>
      <c r="B59" s="2" t="inlineStr">
        <is>
          <t>(575) 521-7030</t>
        </is>
      </c>
      <c r="C59" s="2" t="inlineStr">
        <is>
          <t>roofing</t>
        </is>
      </c>
      <c r="D59" s="2" t="inlineStr">
        <is>
          <t>Las Cruces, NM</t>
        </is>
      </c>
      <c r="E59" s="5" t="inlineStr">
        <is>
          <t>Facebook only</t>
        </is>
      </c>
      <c r="F59" s="2" t="inlineStr">
        <is>
          <t>Verified no website</t>
        </is>
      </c>
      <c r="G59" s="2" t="inlineStr">
        <is>
          <t>Not called</t>
        </is>
      </c>
      <c r="H59" s="2" t="inlineStr"/>
      <c r="I59" s="2" t="inlineStr"/>
      <c r="J59" s="4" t="inlineStr">
        <is>
          <t>1655 W Picacho Ave, Las Cruces, NM 88005</t>
        </is>
      </c>
      <c r="K59" s="4" t="inlineStr">
        <is>
          <t>Locally owned; GAF-listed commercial roofer, BBB and GuildQuality profiles; Facebook page facebook.com/SmithRoofingInc, no own website found</t>
        </is>
      </c>
      <c r="L59" s="4" t="inlineStr">
        <is>
          <t>https://www.yelp.com/biz/smith-roofing-las-cruces</t>
        </is>
      </c>
    </row>
    <row r="60">
      <c r="A60" s="2" t="inlineStr">
        <is>
          <t>Precision Stucco and Lath</t>
        </is>
      </c>
      <c r="B60" s="2" t="inlineStr">
        <is>
          <t>(575) 520-2352</t>
        </is>
      </c>
      <c r="C60" s="2" t="inlineStr">
        <is>
          <t>stucco</t>
        </is>
      </c>
      <c r="D60" s="2" t="inlineStr">
        <is>
          <t>Las Cruces, NM</t>
        </is>
      </c>
      <c r="E60" s="5" t="inlineStr">
        <is>
          <t>Facebook only</t>
        </is>
      </c>
      <c r="F60" s="2" t="inlineStr">
        <is>
          <t>Verified no website</t>
        </is>
      </c>
      <c r="G60" s="2" t="inlineStr">
        <is>
          <t>Not called</t>
        </is>
      </c>
      <c r="H60" s="2" t="inlineStr"/>
      <c r="I60" s="2" t="inlineStr"/>
      <c r="J60" s="4" t="inlineStr">
        <is>
          <t>2200 Holiday SPC 220, Las Cruces, NM 88001</t>
        </is>
      </c>
      <c r="K60" s="4" t="inlineStr">
        <is>
          <t>14+ yrs experience; Facebook page exists; BuildZoom showed license #375594 inactive at last check - worth confirming license status before pitching</t>
        </is>
      </c>
      <c r="L60" s="4" t="inlineStr">
        <is>
          <t>https://www.yelp.com/biz/precision-stucco-and-lath-las-cruces-2</t>
        </is>
      </c>
    </row>
    <row r="61">
      <c r="A61" s="2" t="inlineStr">
        <is>
          <t>Guaymas Tile and Landscaping</t>
        </is>
      </c>
      <c r="B61" s="2" t="inlineStr">
        <is>
          <t>(575) 621-8884</t>
        </is>
      </c>
      <c r="C61" s="2" t="inlineStr">
        <is>
          <t>tile/flooring</t>
        </is>
      </c>
      <c r="D61" s="2" t="inlineStr">
        <is>
          <t>Las Cruces, NM</t>
        </is>
      </c>
      <c r="E61" s="5" t="inlineStr">
        <is>
          <t>Facebook only</t>
        </is>
      </c>
      <c r="F61" s="2" t="inlineStr">
        <is>
          <t>Verified no website</t>
        </is>
      </c>
      <c r="G61" s="2" t="inlineStr">
        <is>
          <t>Not called</t>
        </is>
      </c>
      <c r="H61" s="2" t="inlineStr"/>
      <c r="I61" s="2" t="inlineStr"/>
      <c r="J61" s="4" t="inlineStr">
        <is>
          <t>6160 Chula Vista Rd, Las Cruces, NM 88012</t>
        </is>
      </c>
      <c r="K61" s="4" t="inlineStr">
        <is>
          <t>5.0 on Angi (not Google); ceramic/porcelain/stone tile plus landscaping and fencing; Facebook page exists, no website</t>
        </is>
      </c>
      <c r="L61" s="4" t="inlineStr">
        <is>
          <t>https://www.yelp.com/biz/guaymas-tile-and-landscaping-las-cruces-2</t>
        </is>
      </c>
    </row>
    <row r="62">
      <c r="A62" s="2" t="inlineStr">
        <is>
          <t>Pena's Tile Installation Inc</t>
        </is>
      </c>
      <c r="B62" s="2" t="inlineStr">
        <is>
          <t>(575) 526-1800</t>
        </is>
      </c>
      <c r="C62" s="2" t="inlineStr">
        <is>
          <t>tile/flooring</t>
        </is>
      </c>
      <c r="D62" s="2" t="inlineStr">
        <is>
          <t>Las Cruces, NM</t>
        </is>
      </c>
      <c r="E62" s="2" t="inlineStr">
        <is>
          <t>None</t>
        </is>
      </c>
      <c r="F62" s="2" t="inlineStr">
        <is>
          <t>Verified no website</t>
        </is>
      </c>
      <c r="G62" s="2" t="inlineStr">
        <is>
          <t>Not called</t>
        </is>
      </c>
      <c r="H62" s="2" t="inlineStr"/>
      <c r="I62" s="2" t="inlineStr"/>
      <c r="J62" s="4" t="inlineStr">
        <is>
          <t>817a Quesenberry St, Las Cruces, NM 88005</t>
        </is>
      </c>
      <c r="K62" s="4" t="inlineStr">
        <is>
          <t>Family owned since 1980, combined 96 yrs experience; residential tile, showers, grout cleaning; only directory listings found</t>
        </is>
      </c>
      <c r="L62" s="4" t="inlineStr">
        <is>
          <t>https://www.yelp.com/biz/penas-tile-installation-inc-las-cruces</t>
        </is>
      </c>
    </row>
    <row r="63">
      <c r="A63" s="2" t="inlineStr">
        <is>
          <t>Axe Man Professional Arborist</t>
        </is>
      </c>
      <c r="B63" s="2" t="inlineStr">
        <is>
          <t>(575) 202-5129</t>
        </is>
      </c>
      <c r="C63" s="2" t="inlineStr">
        <is>
          <t>tree service</t>
        </is>
      </c>
      <c r="D63" s="2" t="inlineStr">
        <is>
          <t>Las Cruces, NM</t>
        </is>
      </c>
      <c r="E63" s="2" t="inlineStr">
        <is>
          <t>None</t>
        </is>
      </c>
      <c r="F63" s="2" t="inlineStr">
        <is>
          <t>Verified no website</t>
        </is>
      </c>
      <c r="G63" s="2" t="inlineStr">
        <is>
          <t>Not called</t>
        </is>
      </c>
      <c r="H63" s="2" t="inlineStr"/>
      <c r="I63" s="2" t="inlineStr"/>
      <c r="J63" s="4" t="inlineStr">
        <is>
          <t>3609 Spitz St, Las Cruces, NM 88005</t>
        </is>
      </c>
      <c r="K63" s="4" t="inlineStr">
        <is>
          <t>Owner Craig Benevidez, est. 2009, 35 yrs experience; 4.31 stars / 36 reviews on experience.com (not Google); only a free zumvu profile page, no real website</t>
        </is>
      </c>
      <c r="L63" s="4" t="inlineStr">
        <is>
          <t>https://www.yelp.com/biz/axe-man-professional-arborist-las-cruces</t>
        </is>
      </c>
    </row>
    <row r="64">
      <c r="A64" s="2" t="inlineStr">
        <is>
          <t>Desert Oasis Tree Service</t>
        </is>
      </c>
      <c r="B64" s="2" t="inlineStr">
        <is>
          <t>(575) 312-1699</t>
        </is>
      </c>
      <c r="C64" s="2" t="inlineStr">
        <is>
          <t>tree service</t>
        </is>
      </c>
      <c r="D64" s="2" t="inlineStr">
        <is>
          <t>Las Cruces, NM</t>
        </is>
      </c>
      <c r="E64" s="5" t="inlineStr">
        <is>
          <t>Facebook only</t>
        </is>
      </c>
      <c r="F64" s="2" t="inlineStr">
        <is>
          <t>Verified no website</t>
        </is>
      </c>
      <c r="G64" s="2" t="inlineStr">
        <is>
          <t>Not called</t>
        </is>
      </c>
      <c r="H64" s="2" t="inlineStr"/>
      <c r="I64" s="2" t="inlineStr"/>
      <c r="J64" s="4" t="inlineStr">
        <is>
          <t>2801 W Picacho Ave, Las Cruces, NM 88007</t>
        </is>
      </c>
      <c r="K64" s="4" t="inlineStr">
        <is>
          <t>Owner Lawrence Merritt, established 1982, certified arborist, BBB A+, HomeAdvisor 4.7; alternate phone (575) 519-6003 seen on claimspages.com</t>
        </is>
      </c>
      <c r="L64" s="4" t="inlineStr">
        <is>
          <t>https://www.yelp.com/biz/desert-oasis-tree-service-las-cruces</t>
        </is>
      </c>
    </row>
    <row r="65">
      <c r="A65" s="2" t="inlineStr">
        <is>
          <t>Dona Ana County Tree Care</t>
        </is>
      </c>
      <c r="B65" s="2" t="inlineStr">
        <is>
          <t>(575) 644-8371</t>
        </is>
      </c>
      <c r="C65" s="2" t="inlineStr">
        <is>
          <t>tree service</t>
        </is>
      </c>
      <c r="D65" s="2" t="inlineStr">
        <is>
          <t>Las Cruces, NM</t>
        </is>
      </c>
      <c r="E65" s="2" t="inlineStr">
        <is>
          <t>None</t>
        </is>
      </c>
      <c r="F65" s="2" t="inlineStr">
        <is>
          <t>Verified no website</t>
        </is>
      </c>
      <c r="G65" s="2" t="inlineStr">
        <is>
          <t>Not called</t>
        </is>
      </c>
      <c r="H65" s="2" t="inlineStr"/>
      <c r="I65" s="2" t="inlineStr"/>
      <c r="J65" s="4" t="inlineStr">
        <is>
          <t>5050 Shalem Colony Trl, Las Cruces, NM 88007</t>
        </is>
      </c>
      <c r="K65" s="4" t="inlineStr">
        <is>
          <t>Owner Vincent Duran; 42 years in business; BBB accredited since 2014; pecan tree specialists; alt phone (575) 527-0988; 10 reviews on Yelp</t>
        </is>
      </c>
      <c r="L65" s="4" t="inlineStr">
        <is>
          <t>https://www.yelp.com/biz/dona-ana-county-tree-care-las-cruces</t>
        </is>
      </c>
    </row>
    <row r="66">
      <c r="A66" s="2" t="inlineStr">
        <is>
          <t>Joshua's Tree Service</t>
        </is>
      </c>
      <c r="B66" s="2" t="inlineStr">
        <is>
          <t>(575) 405-6831</t>
        </is>
      </c>
      <c r="C66" s="2" t="inlineStr">
        <is>
          <t>tree service</t>
        </is>
      </c>
      <c r="D66" s="2" t="inlineStr">
        <is>
          <t>Las Cruces, NM</t>
        </is>
      </c>
      <c r="E66" s="5" t="inlineStr">
        <is>
          <t>Facebook only</t>
        </is>
      </c>
      <c r="F66" s="2" t="inlineStr">
        <is>
          <t>Verified no website</t>
        </is>
      </c>
      <c r="G66" s="2" t="inlineStr">
        <is>
          <t>Not called</t>
        </is>
      </c>
      <c r="H66" s="2" t="inlineStr"/>
      <c r="I66" s="2" t="inlineStr"/>
      <c r="J66" s="4" t="inlineStr">
        <is>
          <t>Las Cruces, NM 88005</t>
        </is>
      </c>
      <c r="K66" s="4" t="inlineStr">
        <is>
          <t>Family-owned; 4.9 stars / 12 reviews on Birdeye (not Google); Facebook page exists; only directory listings otherwise</t>
        </is>
      </c>
      <c r="L66" s="4" t="inlineStr">
        <is>
          <t>https://www.yelp.com/biz/joshuas-tree-service-las-cruces</t>
        </is>
      </c>
    </row>
    <row r="67">
      <c r="A67" s="2" t="inlineStr">
        <is>
          <t>High Desert Custom Metalcraft</t>
        </is>
      </c>
      <c r="B67" s="2" t="inlineStr">
        <is>
          <t>(575) 574-2701</t>
        </is>
      </c>
      <c r="C67" s="2" t="inlineStr">
        <is>
          <t>welding</t>
        </is>
      </c>
      <c r="D67" s="2" t="inlineStr">
        <is>
          <t>Las Cruces, NM</t>
        </is>
      </c>
      <c r="E67" s="2" t="inlineStr">
        <is>
          <t>None</t>
        </is>
      </c>
      <c r="F67" s="2" t="inlineStr">
        <is>
          <t>Verified no website</t>
        </is>
      </c>
      <c r="G67" s="2" t="inlineStr">
        <is>
          <t>Not called</t>
        </is>
      </c>
      <c r="H67" s="2" t="inlineStr"/>
      <c r="I67" s="2" t="inlineStr"/>
      <c r="J67" s="4" t="inlineStr">
        <is>
          <t>1790 W Hadley Ave, Las Cruces, NM 88005</t>
        </is>
      </c>
      <c r="K67" s="4" t="inlineStr">
        <is>
          <t>Started 2014; owner Chisum, 15+ yrs welding and CNC plasma cutting - art, signage, fences, repairs; only Yelp/directory listings found</t>
        </is>
      </c>
      <c r="L67" s="4" t="inlineStr">
        <is>
          <t>https://www.yelp.com/biz/high-desert-custom-metalcraft-las-cruces</t>
        </is>
      </c>
    </row>
    <row r="68">
      <c r="A68" s="2" t="inlineStr">
        <is>
          <t>High Desert Welding</t>
        </is>
      </c>
      <c r="B68" s="2" t="inlineStr">
        <is>
          <t>(575) 915-8747</t>
        </is>
      </c>
      <c r="C68" s="2" t="inlineStr">
        <is>
          <t>welding</t>
        </is>
      </c>
      <c r="D68" s="2" t="inlineStr">
        <is>
          <t>Las Cruces, NM</t>
        </is>
      </c>
      <c r="E68" s="2" t="inlineStr">
        <is>
          <t>None</t>
        </is>
      </c>
      <c r="F68" s="2" t="inlineStr">
        <is>
          <t>Verified no website</t>
        </is>
      </c>
      <c r="G68" s="2" t="inlineStr">
        <is>
          <t>Not called</t>
        </is>
      </c>
      <c r="H68" s="2" t="inlineStr"/>
      <c r="I68" s="2" t="inlineStr"/>
      <c r="J68" s="4" t="inlineStr"/>
      <c r="K68" s="4" t="inlineStr">
        <is>
          <t>Metal fabricator on Yelp with no website found; confirm on call this is the Las Cruces shop and not the unrelated High Desert Welding &amp; Machine LLC (WY/DOT-registered carrier)</t>
        </is>
      </c>
      <c r="L68" s="4" t="inlineStr">
        <is>
          <t>https://www.yelp.com/biz/high-desert-welding-las-cruces</t>
        </is>
      </c>
    </row>
    <row r="69">
      <c r="A69" s="2" t="inlineStr">
        <is>
          <t>Baca Fence Co</t>
        </is>
      </c>
      <c r="B69" s="2" t="inlineStr">
        <is>
          <t>(575) 546-3306</t>
        </is>
      </c>
      <c r="C69" s="2" t="inlineStr">
        <is>
          <t>Fencing</t>
        </is>
      </c>
      <c r="D69" s="2" t="inlineStr">
        <is>
          <t>Deming, NM</t>
        </is>
      </c>
      <c r="E69" s="2" t="inlineStr">
        <is>
          <t>None</t>
        </is>
      </c>
      <c r="F69" s="2" t="inlineStr">
        <is>
          <t>Verified no website</t>
        </is>
      </c>
      <c r="G69" s="2" t="inlineStr">
        <is>
          <t>Not called</t>
        </is>
      </c>
      <c r="H69" s="2" t="inlineStr"/>
      <c r="I69" s="2" t="inlineStr"/>
      <c r="J69" s="4" t="inlineStr">
        <is>
          <t>Deming, NM 88030</t>
        </is>
      </c>
      <c r="K69" s="4" t="inlineStr">
        <is>
          <t>Owner Christobal Baca, in business since 1993; chain link, barb wire, corrals, custom gates; licensed &amp; bonded. 5.0 rating on Angi (not Google). Listings only on Angi/BBB/Yelp/Nextdoor - no website.</t>
        </is>
      </c>
      <c r="L69" s="4" t="inlineStr">
        <is>
          <t>https://www.angi.com/companylist/us/nm/deming/baca-fence-co-reviews-7530942.htm</t>
        </is>
      </c>
    </row>
    <row r="70">
      <c r="A70" s="2" t="inlineStr">
        <is>
          <t>Eagle Eye Fencing</t>
        </is>
      </c>
      <c r="B70" s="2" t="inlineStr">
        <is>
          <t>(575) 538-5110</t>
        </is>
      </c>
      <c r="C70" s="2" t="inlineStr">
        <is>
          <t>Fencing</t>
        </is>
      </c>
      <c r="D70" s="2" t="inlineStr">
        <is>
          <t>Deming, NM</t>
        </is>
      </c>
      <c r="E70" s="2" t="inlineStr">
        <is>
          <t>None</t>
        </is>
      </c>
      <c r="F70" s="3" t="inlineStr">
        <is>
          <t>Re-check first</t>
        </is>
      </c>
      <c r="G70" s="2" t="inlineStr">
        <is>
          <t>Not called</t>
        </is>
      </c>
      <c r="H70" s="2" t="inlineStr"/>
      <c r="I70" s="2" t="inlineStr"/>
      <c r="J70" s="4" t="inlineStr"/>
      <c r="K70" s="4" t="inlineStr">
        <is>
          <t>Listed as serving Deming on Angi fencing directory; no website found. 538 prefix is Silver City area - likely serves both.</t>
        </is>
      </c>
      <c r="L70" s="4" t="inlineStr">
        <is>
          <t>https://www.angi.com/companylist/us/nm/deming/fencing.htm</t>
        </is>
      </c>
    </row>
    <row r="71">
      <c r="A71" s="2" t="inlineStr">
        <is>
          <t>Keller Fencing</t>
        </is>
      </c>
      <c r="B71" s="2" t="inlineStr">
        <is>
          <t>(575) 535-2223</t>
        </is>
      </c>
      <c r="C71" s="2" t="inlineStr">
        <is>
          <t>Fencing</t>
        </is>
      </c>
      <c r="D71" s="2" t="inlineStr">
        <is>
          <t>Deming, NM</t>
        </is>
      </c>
      <c r="E71" s="2" t="inlineStr">
        <is>
          <t>None</t>
        </is>
      </c>
      <c r="F71" s="3" t="inlineStr">
        <is>
          <t>Re-check first</t>
        </is>
      </c>
      <c r="G71" s="2" t="inlineStr">
        <is>
          <t>Not called</t>
        </is>
      </c>
      <c r="H71" s="2" t="inlineStr"/>
      <c r="I71" s="2" t="inlineStr"/>
      <c r="J71" s="4" t="inlineStr"/>
      <c r="K71" s="4" t="inlineStr">
        <is>
          <t>Listed as serving Deming on Angi fencing directory; no website found. 535 prefix is Grant County area - likely serves both.</t>
        </is>
      </c>
      <c r="L71" s="4" t="inlineStr">
        <is>
          <t>https://www.angi.com/companylist/us/nm/deming/fencing.htm</t>
        </is>
      </c>
    </row>
    <row r="72">
      <c r="A72" s="2" t="inlineStr">
        <is>
          <t>Hudson Shops</t>
        </is>
      </c>
      <c r="B72" s="2" t="inlineStr">
        <is>
          <t>(575) 546-2413</t>
        </is>
      </c>
      <c r="C72" s="2" t="inlineStr">
        <is>
          <t>HVAC</t>
        </is>
      </c>
      <c r="D72" s="2" t="inlineStr">
        <is>
          <t>Deming, NM</t>
        </is>
      </c>
      <c r="E72" s="2" t="inlineStr">
        <is>
          <t>None</t>
        </is>
      </c>
      <c r="F72" s="2" t="inlineStr">
        <is>
          <t>Verified no website</t>
        </is>
      </c>
      <c r="G72" s="2" t="inlineStr">
        <is>
          <t>Not called</t>
        </is>
      </c>
      <c r="H72" s="2" t="inlineStr"/>
      <c r="I72" s="2" t="inlineStr"/>
      <c r="J72" s="4" t="inlineStr">
        <is>
          <t>3650 N Gold Ave, Deming, NM 88030</t>
        </is>
      </c>
      <c r="K72" s="4" t="inlineStr">
        <is>
          <t>Owner Greg Hudson. 4.9 stars / 28 reviews on Birdeye (not Google). Directory listings only (YP, Birdeye, BuildZoom, Manta); no website found.</t>
        </is>
      </c>
      <c r="L72" s="4" t="inlineStr">
        <is>
          <t>https://www.yellowpages.com/deming-nm/mip/hudson-shops-543617412</t>
        </is>
      </c>
    </row>
    <row r="73">
      <c r="A73" s="2" t="inlineStr">
        <is>
          <t>Michael A. Greco Landscaping &amp; Repair</t>
        </is>
      </c>
      <c r="B73" s="2" t="inlineStr">
        <is>
          <t>(575) 694-3877</t>
        </is>
      </c>
      <c r="C73" s="2" t="inlineStr">
        <is>
          <t>Landscaping / handyman / fencing / stucco</t>
        </is>
      </c>
      <c r="D73" s="2" t="inlineStr">
        <is>
          <t>Deming, NM</t>
        </is>
      </c>
      <c r="E73" s="2" t="inlineStr">
        <is>
          <t>None</t>
        </is>
      </c>
      <c r="F73" s="2" t="inlineStr">
        <is>
          <t>Verified no website</t>
        </is>
      </c>
      <c r="G73" s="2" t="inlineStr">
        <is>
          <t>Not called</t>
        </is>
      </c>
      <c r="H73" s="2" t="inlineStr"/>
      <c r="I73" s="2" t="inlineStr"/>
      <c r="J73" s="4" t="inlineStr">
        <is>
          <t>406 S Platinum Ave, Deming, NM 88030</t>
        </is>
      </c>
      <c r="K73" s="4" t="inlineStr">
        <is>
          <t>Full-service landscaping plus home repair; also listed under fencing/stucco as 'Mike Greco'. Directory listings only; no website found.</t>
        </is>
      </c>
      <c r="L73" s="4" t="inlineStr">
        <is>
          <t>https://www.yellowpages.com/deming-nm/tree-service</t>
        </is>
      </c>
    </row>
    <row r="74">
      <c r="A74" s="2" t="inlineStr">
        <is>
          <t>Mimbres Valley Landscaping</t>
        </is>
      </c>
      <c r="B74" s="2" t="inlineStr">
        <is>
          <t>(575) 299-8770</t>
        </is>
      </c>
      <c r="C74" s="2" t="inlineStr">
        <is>
          <t>Landscaping / tree care</t>
        </is>
      </c>
      <c r="D74" s="2" t="inlineStr">
        <is>
          <t>Deming, NM</t>
        </is>
      </c>
      <c r="E74" s="2" t="inlineStr">
        <is>
          <t>None</t>
        </is>
      </c>
      <c r="F74" s="2" t="inlineStr">
        <is>
          <t>Verified no website</t>
        </is>
      </c>
      <c r="G74" s="2" t="inlineStr">
        <is>
          <t>Not called</t>
        </is>
      </c>
      <c r="H74" s="2" t="inlineStr"/>
      <c r="I74" s="2" t="inlineStr"/>
      <c r="J74" s="4" t="inlineStr">
        <is>
          <t>Deming, NM</t>
        </is>
      </c>
      <c r="K74" s="4" t="inlineStr">
        <is>
          <t>Tree care and landscape maintenance; Yelp listing only, no website found. Phone has non-local prefix - confirm on call.</t>
        </is>
      </c>
      <c r="L74" s="4" t="inlineStr">
        <is>
          <t>https://www.yelp.com/biz/mimbres-valley-landscaping-deming</t>
        </is>
      </c>
    </row>
    <row r="75">
      <c r="A75" s="2" t="inlineStr">
        <is>
          <t>Manny's Landscaping &amp; Yard Maintenance</t>
        </is>
      </c>
      <c r="B75" s="2" t="inlineStr">
        <is>
          <t>(575) 545-2548</t>
        </is>
      </c>
      <c r="C75" s="2" t="inlineStr">
        <is>
          <t>Landscaping / tree service</t>
        </is>
      </c>
      <c r="D75" s="2" t="inlineStr">
        <is>
          <t>Deming, NM</t>
        </is>
      </c>
      <c r="E75" s="5" t="inlineStr">
        <is>
          <t>Facebook only</t>
        </is>
      </c>
      <c r="F75" s="2" t="inlineStr">
        <is>
          <t>Verified no website</t>
        </is>
      </c>
      <c r="G75" s="2" t="inlineStr">
        <is>
          <t>Not called</t>
        </is>
      </c>
      <c r="H75" s="2" t="inlineStr"/>
      <c r="I75" s="2" t="inlineStr"/>
      <c r="J75" s="4" t="inlineStr">
        <is>
          <t>1810 E Birch, Deming, NM</t>
        </is>
      </c>
      <c r="K75" s="4" t="inlineStr">
        <is>
          <t>Licensed &amp; insured; landscaping, tree removal/pruning, weed removal, sod, xeriscaping, irrigation. Facebook page is only online presence found.</t>
        </is>
      </c>
      <c r="L75" s="4" t="inlineStr">
        <is>
          <t>https://www.facebook.com/p/Mannys-Landscaping-Yard-Maintenance-100065135675313/</t>
        </is>
      </c>
    </row>
    <row r="76">
      <c r="A76" s="2" t="inlineStr">
        <is>
          <t>Bunting &amp; Bunting Roofing</t>
        </is>
      </c>
      <c r="B76" s="2" t="inlineStr">
        <is>
          <t>(575) 546-7334</t>
        </is>
      </c>
      <c r="C76" s="2" t="inlineStr">
        <is>
          <t>Roofing</t>
        </is>
      </c>
      <c r="D76" s="2" t="inlineStr">
        <is>
          <t>Deming, NM</t>
        </is>
      </c>
      <c r="E76" s="2" t="inlineStr">
        <is>
          <t>None</t>
        </is>
      </c>
      <c r="F76" s="2" t="inlineStr">
        <is>
          <t>Verified no website</t>
        </is>
      </c>
      <c r="G76" s="2" t="inlineStr">
        <is>
          <t>Not called</t>
        </is>
      </c>
      <c r="H76" s="2" t="inlineStr"/>
      <c r="I76" s="2" t="inlineStr"/>
      <c r="J76" s="4" t="inlineStr">
        <is>
          <t>9515 McCan Rd SE, Deming, NM 88030 (mail: PO Box 2508, Deming, NM 88031)</t>
        </is>
      </c>
      <c r="K76" s="4" t="inlineStr">
        <is>
          <t>Owner Alvin Bunting; est. 2000, ~2 employees, NM license 34414. Alt phone seen on directory listings: (575) 544-6818. Review quote: 'Best Roofer in Luna County NM hands down'. Only BBB/Manta/BuildZoom/homeyou listings found, no website.</t>
        </is>
      </c>
      <c r="L76" s="4" t="inlineStr">
        <is>
          <t>https://www.bbb.org/us/nm/deming/profile/roofing-contractors/bunting-bunting-roofing-0806-44858</t>
        </is>
      </c>
    </row>
    <row r="77">
      <c r="A77" s="2" t="inlineStr">
        <is>
          <t>MetalMan Roofing, LLC</t>
        </is>
      </c>
      <c r="B77" s="2" t="inlineStr">
        <is>
          <t>(575) 621-3337</t>
        </is>
      </c>
      <c r="C77" s="2" t="inlineStr">
        <is>
          <t>Roofing (metal)</t>
        </is>
      </c>
      <c r="D77" s="2" t="inlineStr">
        <is>
          <t>Deming, NM</t>
        </is>
      </c>
      <c r="E77" s="5" t="inlineStr">
        <is>
          <t>Facebook only</t>
        </is>
      </c>
      <c r="F77" s="2" t="inlineStr">
        <is>
          <t>Verified no website</t>
        </is>
      </c>
      <c r="G77" s="2" t="inlineStr">
        <is>
          <t>Not called</t>
        </is>
      </c>
      <c r="H77" s="2" t="inlineStr"/>
      <c r="I77" s="2" t="inlineStr"/>
      <c r="J77" s="4" t="inlineStr">
        <is>
          <t>706 S Nickel St, Deming, NM 88030</t>
        </is>
      </c>
      <c r="K77" s="4" t="inlineStr">
        <is>
          <t>Owner Vince J Orozco; active Facebook page (facebook.com/MetalManVince), bilingual, free estimates. Caution: BuildZoom shows no active NM license on file.</t>
        </is>
      </c>
      <c r="L77" s="4" t="inlineStr">
        <is>
          <t>https://www.buildzoom.com/contractor/metal-man-roofing-llc</t>
        </is>
      </c>
    </row>
    <row r="78">
      <c r="A78" s="2" t="inlineStr">
        <is>
          <t>Salars Welding</t>
        </is>
      </c>
      <c r="B78" s="2" t="inlineStr">
        <is>
          <t>(575) 546-5463</t>
        </is>
      </c>
      <c r="C78" s="2" t="inlineStr">
        <is>
          <t>Welding</t>
        </is>
      </c>
      <c r="D78" s="2" t="inlineStr">
        <is>
          <t>Deming, NM</t>
        </is>
      </c>
      <c r="E78" s="2" t="inlineStr">
        <is>
          <t>None</t>
        </is>
      </c>
      <c r="F78" s="2" t="inlineStr">
        <is>
          <t>Verified no website</t>
        </is>
      </c>
      <c r="G78" s="2" t="inlineStr">
        <is>
          <t>Not called</t>
        </is>
      </c>
      <c r="H78" s="2" t="inlineStr"/>
      <c r="I78" s="2" t="inlineStr"/>
      <c r="J78" s="4" t="inlineStr">
        <is>
          <t>2303 Columbus Rd SE, Deming, NM 88030</t>
        </is>
      </c>
      <c r="K78" s="4" t="inlineStr">
        <is>
          <t>Only Yelp/directory listings found; no website or social page seen.</t>
        </is>
      </c>
      <c r="L78" s="4" t="inlineStr">
        <is>
          <t>https://www.yelp.com/biz/salars-welding-deming</t>
        </is>
      </c>
    </row>
    <row r="79">
      <c r="A79" s="2" t="inlineStr">
        <is>
          <t>Ashbaugh Construction Co</t>
        </is>
      </c>
      <c r="B79" s="2" t="inlineStr">
        <is>
          <t>(575) 894-6013</t>
        </is>
      </c>
      <c r="C79" s="2" t="inlineStr">
        <is>
          <t>Excavation / dirtwork</t>
        </is>
      </c>
      <c r="D79" s="2" t="inlineStr">
        <is>
          <t>Truth or Consequences, NM</t>
        </is>
      </c>
      <c r="E79" s="2" t="inlineStr">
        <is>
          <t>None</t>
        </is>
      </c>
      <c r="F79" s="2" t="inlineStr">
        <is>
          <t>Verified no website</t>
        </is>
      </c>
      <c r="G79" s="2" t="inlineStr">
        <is>
          <t>Not called</t>
        </is>
      </c>
      <c r="H79" s="2" t="inlineStr"/>
      <c r="I79" s="2" t="inlineStr"/>
      <c r="J79" s="4" t="inlineStr">
        <is>
          <t>P.O. Drawer 591, Truth or Consequences, NM 87901</t>
        </is>
      </c>
      <c r="K79" s="4" t="inlineStr">
        <is>
          <t>Heavy equipment and dirtwork; NM licensed (utility lines, mechanical); BuildZoom score 100, top 13% of NM contractors. No website found - listed in Foxworth-Galbraith local service directory and BuildZoom/Porch only.</t>
        </is>
      </c>
      <c r="L79" s="4" t="inlineStr">
        <is>
          <t>https://www.foxgal.com/locations/truth-or-consequences-nm/service-directory/</t>
        </is>
      </c>
    </row>
    <row r="80">
      <c r="A80" s="2" t="inlineStr">
        <is>
          <t>AGNS Construction</t>
        </is>
      </c>
      <c r="B80" s="2" t="inlineStr">
        <is>
          <t>(575) 956-5565</t>
        </is>
      </c>
      <c r="C80" s="2" t="inlineStr">
        <is>
          <t>General contractor</t>
        </is>
      </c>
      <c r="D80" s="2" t="inlineStr">
        <is>
          <t>Truth or Consequences, NM</t>
        </is>
      </c>
      <c r="E80" s="2" t="inlineStr">
        <is>
          <t>None</t>
        </is>
      </c>
      <c r="F80" s="3" t="inlineStr">
        <is>
          <t>Re-check first</t>
        </is>
      </c>
      <c r="G80" s="2" t="inlineStr">
        <is>
          <t>Not called</t>
        </is>
      </c>
      <c r="H80" s="2" t="inlineStr"/>
      <c r="I80" s="2" t="inlineStr"/>
      <c r="J80" s="4" t="inlineStr"/>
      <c r="K80" s="4" t="inlineStr">
        <is>
          <t>Listed in Foxworth-Galbraith T or C home-improvement service directory (local lumberyard's contractor referral list); no website found.</t>
        </is>
      </c>
      <c r="L80" s="4" t="inlineStr">
        <is>
          <t>https://www.foxgal.com/locations/truth-or-consequences-nm/service-directory/</t>
        </is>
      </c>
    </row>
    <row r="81">
      <c r="A81" s="2" t="inlineStr">
        <is>
          <t>Clinton Moore (contractor)</t>
        </is>
      </c>
      <c r="B81" s="2" t="inlineStr">
        <is>
          <t>(575) 740-3928</t>
        </is>
      </c>
      <c r="C81" s="2" t="inlineStr">
        <is>
          <t>General contractor / handyman</t>
        </is>
      </c>
      <c r="D81" s="2" t="inlineStr">
        <is>
          <t>Truth or Consequences, NM</t>
        </is>
      </c>
      <c r="E81" s="2" t="inlineStr">
        <is>
          <t>None</t>
        </is>
      </c>
      <c r="F81" s="3" t="inlineStr">
        <is>
          <t>Re-check first</t>
        </is>
      </c>
      <c r="G81" s="2" t="inlineStr">
        <is>
          <t>Not called</t>
        </is>
      </c>
      <c r="H81" s="2" t="inlineStr"/>
      <c r="I81" s="2" t="inlineStr"/>
      <c r="J81" s="4" t="inlineStr"/>
      <c r="K81" s="4" t="inlineStr">
        <is>
          <t>Individual owner-operator listed in Foxworth-Galbraith T or C service directory; no website found. Confirm exact trade on call.</t>
        </is>
      </c>
      <c r="L81" s="4" t="inlineStr">
        <is>
          <t>https://www.foxgal.com/locations/truth-or-consequences-nm/service-directory/</t>
        </is>
      </c>
    </row>
    <row r="82">
      <c r="A82" s="2" t="inlineStr">
        <is>
          <t>All Service Construction</t>
        </is>
      </c>
      <c r="B82" s="2" t="inlineStr">
        <is>
          <t>(575) 894-4007</t>
        </is>
      </c>
      <c r="C82" s="2" t="inlineStr">
        <is>
          <t>HVAC / electrical / general contractor</t>
        </is>
      </c>
      <c r="D82" s="2" t="inlineStr">
        <is>
          <t>Truth or Consequences, NM</t>
        </is>
      </c>
      <c r="E82" s="2" t="inlineStr">
        <is>
          <t>None</t>
        </is>
      </c>
      <c r="F82" s="2" t="inlineStr">
        <is>
          <t>Verified no website</t>
        </is>
      </c>
      <c r="G82" s="2" t="inlineStr">
        <is>
          <t>Not called</t>
        </is>
      </c>
      <c r="H82" s="2" t="inlineStr"/>
      <c r="I82" s="2" t="inlineStr"/>
      <c r="J82" s="4" t="inlineStr">
        <is>
          <t>Truth or Consequences, NM 87901</t>
        </is>
      </c>
      <c r="K82" s="4" t="inlineStr">
        <is>
          <t>Founded 2009; owner Fred (25+ yrs experience) does all electrical work; specializes in electrical panels and refrigerated air conversions; licensed residential/commercial/industrial. Directory listings only, no website.</t>
        </is>
      </c>
      <c r="L82" s="4" t="inlineStr">
        <is>
          <t>https://www.yellowpages.com/truth-or-consequences-nm/mip/all-service-construction-456855201</t>
        </is>
      </c>
    </row>
    <row r="83">
      <c r="A83" s="2" t="inlineStr">
        <is>
          <t>Evenflow Services</t>
        </is>
      </c>
      <c r="B83" s="2" t="inlineStr">
        <is>
          <t>(575) 744-9151</t>
        </is>
      </c>
      <c r="C83" s="2" t="inlineStr">
        <is>
          <t>Plumbing</t>
        </is>
      </c>
      <c r="D83" s="2" t="inlineStr">
        <is>
          <t>Truth or Consequences, NM</t>
        </is>
      </c>
      <c r="E83" s="2" t="inlineStr">
        <is>
          <t>None</t>
        </is>
      </c>
      <c r="F83" s="3" t="inlineStr">
        <is>
          <t>Re-check first</t>
        </is>
      </c>
      <c r="G83" s="2" t="inlineStr">
        <is>
          <t>Not called</t>
        </is>
      </c>
      <c r="H83" s="2" t="inlineStr"/>
      <c r="I83" s="2" t="inlineStr"/>
      <c r="J83" s="4" t="inlineStr"/>
      <c r="K83" s="4" t="inlineStr">
        <is>
          <t>Serves T or C area; 744 prefix = Elephant Butte. Found only in Superpages plumber directory; no website seen. Confirm on call.</t>
        </is>
      </c>
      <c r="L83" s="4" t="inlineStr">
        <is>
          <t>https://www.superpages.com/truth-or-consequences-nm/plumbing-contractors</t>
        </is>
      </c>
    </row>
    <row r="84">
      <c r="A84" s="2" t="inlineStr">
        <is>
          <t>MPG Services, LLC</t>
        </is>
      </c>
      <c r="B84" s="2" t="inlineStr">
        <is>
          <t>(575) 894-1440</t>
        </is>
      </c>
      <c r="C84" s="2" t="inlineStr">
        <is>
          <t>Plumbing / HVAC / propane-natural gas</t>
        </is>
      </c>
      <c r="D84" s="2" t="inlineStr">
        <is>
          <t>Truth or Consequences, NM</t>
        </is>
      </c>
      <c r="E84" s="5" t="inlineStr">
        <is>
          <t>Facebook only</t>
        </is>
      </c>
      <c r="F84" s="2" t="inlineStr">
        <is>
          <t>Verified no website</t>
        </is>
      </c>
      <c r="G84" s="2" t="inlineStr">
        <is>
          <t>Not called</t>
        </is>
      </c>
      <c r="H84" s="2" t="inlineStr"/>
      <c r="I84" s="2" t="inlineStr"/>
      <c r="J84" s="4" t="inlineStr">
        <is>
          <t>1907 S Broadway St, Truth or Consequences, NM 87901</t>
        </is>
      </c>
      <c r="K84" s="4" t="inlineStr">
        <is>
          <t>Owner Grant Montgomery; ~17+ years in business per BBB. Active Facebook page (facebook.com/mpgservicesllc); no website found.</t>
        </is>
      </c>
      <c r="L84" s="4" t="inlineStr">
        <is>
          <t>https://www.yelp.com/biz/mpg-services-truth-or-consequences</t>
        </is>
      </c>
    </row>
    <row r="85">
      <c r="A85" s="2" t="inlineStr">
        <is>
          <t>Affordable Roofing and Handyman Services, LLC</t>
        </is>
      </c>
      <c r="B85" s="2" t="inlineStr">
        <is>
          <t>(575) 642-5760</t>
        </is>
      </c>
      <c r="C85" s="2" t="inlineStr">
        <is>
          <t>Roofing / handyman</t>
        </is>
      </c>
      <c r="D85" s="2" t="inlineStr">
        <is>
          <t>Truth or Consequences, NM</t>
        </is>
      </c>
      <c r="E85" s="2" t="inlineStr">
        <is>
          <t>None</t>
        </is>
      </c>
      <c r="F85" s="2" t="inlineStr">
        <is>
          <t>Verified no website</t>
        </is>
      </c>
      <c r="G85" s="2" t="inlineStr">
        <is>
          <t>Not called</t>
        </is>
      </c>
      <c r="H85" s="2" t="inlineStr"/>
      <c r="I85" s="2" t="inlineStr"/>
      <c r="J85" s="4" t="inlineStr">
        <is>
          <t>403 N Ash St, Truth or Consequences, NM 87901</t>
        </is>
      </c>
      <c r="K85" s="4" t="inlineStr">
        <is>
          <t>Licensed &amp; insured; flooring to roofing; no payment for labor until job complete. 5 reviews on Birdeye (not Google). Directory listings only, no website.</t>
        </is>
      </c>
      <c r="L85" s="4" t="inlineStr">
        <is>
          <t>https://local.yahoo.com/info-238425441-affordable-roofing-and-handyman-services-truth-or-consequences/</t>
        </is>
      </c>
    </row>
    <row r="86">
      <c r="A86" s="2" t="inlineStr">
        <is>
          <t>Edward's Construction Co</t>
        </is>
      </c>
      <c r="B86" s="2" t="inlineStr">
        <is>
          <t>(575) 835-0502</t>
        </is>
      </c>
      <c r="C86" s="2" t="inlineStr">
        <is>
          <t>Concrete / general contractor / fencing</t>
        </is>
      </c>
      <c r="D86" s="2" t="inlineStr">
        <is>
          <t>Socorro, NM</t>
        </is>
      </c>
      <c r="E86" s="2" t="inlineStr">
        <is>
          <t>None</t>
        </is>
      </c>
      <c r="F86" s="2" t="inlineStr">
        <is>
          <t>Verified no website</t>
        </is>
      </c>
      <c r="G86" s="2" t="inlineStr">
        <is>
          <t>Not called</t>
        </is>
      </c>
      <c r="H86" s="2" t="inlineStr"/>
      <c r="I86" s="2" t="inlineStr"/>
      <c r="J86" s="4" t="inlineStr">
        <is>
          <t>1220 Lemitar Ln, Socorro, NM 87801</t>
        </is>
      </c>
      <c r="K86" s="4" t="inlineStr">
        <is>
          <t>Est. 1981, ~7 staff; cement finishing, concrete flooring, fences &amp; gates, carpentry, siding, demolition. Caution: BuildZoom shows GC license expired 12/2024 and inactive as of 8/2025 - verify. No website found.</t>
        </is>
      </c>
      <c r="L86" s="4" t="inlineStr">
        <is>
          <t>https://www.manta.com/c/mmg63jm/edward-s-construction-co</t>
        </is>
      </c>
    </row>
    <row r="87">
      <c r="A87" s="2" t="inlineStr">
        <is>
          <t>Eapco Inc</t>
        </is>
      </c>
      <c r="B87" s="2" t="inlineStr">
        <is>
          <t>(575) 835-4723</t>
        </is>
      </c>
      <c r="C87" s="2" t="inlineStr">
        <is>
          <t>HVAC / heating</t>
        </is>
      </c>
      <c r="D87" s="2" t="inlineStr">
        <is>
          <t>Socorro, NM</t>
        </is>
      </c>
      <c r="E87" s="2" t="inlineStr">
        <is>
          <t>None</t>
        </is>
      </c>
      <c r="F87" s="3" t="inlineStr">
        <is>
          <t>Re-check first</t>
        </is>
      </c>
      <c r="G87" s="2" t="inlineStr">
        <is>
          <t>Not called</t>
        </is>
      </c>
      <c r="H87" s="2" t="inlineStr"/>
      <c r="I87" s="2" t="inlineStr"/>
      <c r="J87" s="4" t="inlineStr">
        <is>
          <t>216 Abeyta St E, Socorro, NM 87801</t>
        </is>
      </c>
      <c r="K87" s="4" t="inlineStr">
        <is>
          <t>Heating/cooling contractor; found only on BuildZoom and YP heating listings, no website seen. Confirm on call.</t>
        </is>
      </c>
      <c r="L87" s="4" t="inlineStr">
        <is>
          <t>https://www.buildzoom.com/contractor/eapco-inc</t>
        </is>
      </c>
    </row>
    <row r="88">
      <c r="A88" s="2" t="inlineStr">
        <is>
          <t>Romero's Plumbing, LLC</t>
        </is>
      </c>
      <c r="B88" s="2" t="inlineStr">
        <is>
          <t>(575) 418-7496</t>
        </is>
      </c>
      <c r="C88" s="2" t="inlineStr">
        <is>
          <t>Plumbing (also A/C &amp; heating)</t>
        </is>
      </c>
      <c r="D88" s="2" t="inlineStr">
        <is>
          <t>Socorro, NM</t>
        </is>
      </c>
      <c r="E88" s="2" t="inlineStr">
        <is>
          <t>None</t>
        </is>
      </c>
      <c r="F88" s="2" t="inlineStr">
        <is>
          <t>Verified no website</t>
        </is>
      </c>
      <c r="G88" s="2" t="inlineStr">
        <is>
          <t>Not called</t>
        </is>
      </c>
      <c r="H88" s="2" t="inlineStr"/>
      <c r="I88" s="2" t="inlineStr"/>
      <c r="J88" s="4" t="inlineStr">
        <is>
          <t>102 Calle de San Miguel, Socorro, NM 87801</t>
        </is>
      </c>
      <c r="K88" s="4" t="inlineStr">
        <is>
          <t>Owner Gerardo Romero; started 2016, BBB accredited since 2020; drain cleaning, leak detection, repairs. Directory listings only (BBB, YP, Superpages, Houzz, Nextdoor); no website.</t>
        </is>
      </c>
      <c r="L88" s="4" t="inlineStr">
        <is>
          <t>https://www.bbb.org/us/nm/socorro/profile/plumber/romeros-plumbing-llc-0806-99160081</t>
        </is>
      </c>
    </row>
    <row r="89">
      <c r="A89" s="2" t="inlineStr">
        <is>
          <t>Jaramillo's Plumbing, Heating &amp; AC, Inc.</t>
        </is>
      </c>
      <c r="B89" s="2" t="inlineStr">
        <is>
          <t>(575) 835-1679</t>
        </is>
      </c>
      <c r="C89" s="2" t="inlineStr">
        <is>
          <t>Plumbing / HVAC</t>
        </is>
      </c>
      <c r="D89" s="2" t="inlineStr">
        <is>
          <t>Socorro, NM</t>
        </is>
      </c>
      <c r="E89" s="2" t="inlineStr">
        <is>
          <t>None</t>
        </is>
      </c>
      <c r="F89" s="2" t="inlineStr">
        <is>
          <t>Verified no website</t>
        </is>
      </c>
      <c r="G89" s="2" t="inlineStr">
        <is>
          <t>Not called</t>
        </is>
      </c>
      <c r="H89" s="2" t="inlineStr"/>
      <c r="I89" s="2" t="inlineStr"/>
      <c r="J89" s="4" t="inlineStr">
        <is>
          <t>302 Otero Ave E, Socorro, NM 87801</t>
        </is>
      </c>
      <c r="K89" s="4" t="inlineStr">
        <is>
          <t>Family-owned since 1984 (Robert L Jaramillo Sr/Jr, Pauline Jaramillo); NM license 85587 exp 7/2028. Some older listings show (505) 835-1679 - same line, pre-area-code-split. Directory listings only; no website.</t>
        </is>
      </c>
      <c r="L89" s="4" t="inlineStr">
        <is>
          <t>https://www.yellowpages.com/socorro-nm/mip/jaramillos-plumbing-heating-3167408</t>
        </is>
      </c>
    </row>
    <row r="90">
      <c r="A90" s="2" t="inlineStr">
        <is>
          <t>Braswell Roofing, Inc.</t>
        </is>
      </c>
      <c r="B90" s="2" t="inlineStr">
        <is>
          <t>(575) 838-1870</t>
        </is>
      </c>
      <c r="C90" s="2" t="inlineStr">
        <is>
          <t>Roofing</t>
        </is>
      </c>
      <c r="D90" s="2" t="inlineStr">
        <is>
          <t>Socorro, NM</t>
        </is>
      </c>
      <c r="E90" s="2" t="inlineStr">
        <is>
          <t>None</t>
        </is>
      </c>
      <c r="F90" s="2" t="inlineStr">
        <is>
          <t>Verified no website</t>
        </is>
      </c>
      <c r="G90" s="2" t="inlineStr">
        <is>
          <t>Not called</t>
        </is>
      </c>
      <c r="H90" s="2" t="inlineStr"/>
      <c r="I90" s="2" t="inlineStr"/>
      <c r="J90" s="4" t="inlineStr">
        <is>
          <t>106 Spring St, Socorro, NM 87801 (also listed at 301 Spring St)</t>
        </is>
      </c>
      <c r="K90" s="4" t="inlineStr">
        <is>
          <t>President William Braswell; ~26 years in business, ~6 employees; BBB A+; NM license 374678 (exp 7/2027); BuildZoom top 10% of NM contractors. Explicitly confirmed: no own website found, directory listings only.</t>
        </is>
      </c>
      <c r="L90" s="4" t="inlineStr">
        <is>
          <t>https://www.bbb.org/us/nm/socorro/profile/roofing-contractors/braswell-roofing-inc-0806-2548</t>
        </is>
      </c>
    </row>
  </sheetData>
  <autoFilter ref="A1:L90"/>
  <dataValidations count="1">
    <dataValidation sqref="G2:G90" showDropDown="0" showInputMessage="0" showErrorMessage="0" allowBlank="1" type="list">
      <formula1>"Not called,No answer,Left VM + text,Call back later,Appointment booked,Not interested,CLOSED WON,Bad number"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75" customWidth="1" min="3" max="3"/>
  </cols>
  <sheetData>
    <row r="1">
      <c r="B1" s="6" t="inlineStr">
        <is>
          <t>Blue-Collar Lead Call Sheet — Loya Media</t>
        </is>
      </c>
    </row>
    <row r="2">
      <c r="B2" s="7" t="inlineStr">
        <is>
          <t>Compiled 2026-08-24 from public directory listings and web searches (Yelp, BBB, YellowPages, Angi, Facebook, and others).</t>
        </is>
      </c>
    </row>
    <row r="3">
      <c r="B3" s="7" t="inlineStr"/>
    </row>
    <row r="4">
      <c r="B4" s="8" t="inlineStr">
        <is>
          <t>How to work this sheet</t>
        </is>
      </c>
    </row>
    <row r="5">
      <c r="B5" s="7" t="inlineStr">
        <is>
          <t>1. YOU fill in only three columns: Call Status (pick from the dropdown), Appointment, and Outcome.</t>
        </is>
      </c>
    </row>
    <row r="6">
      <c r="B6" s="7" t="inlineStr">
        <is>
          <t>2. Everything else is research data. Update Call Status the second you hang up.</t>
        </is>
      </c>
    </row>
    <row r="7">
      <c r="B7" s="7" t="inlineStr">
        <is>
          <t>3. Example of a filled-in row: Call Status = 'Appointment booked', Appointment = 'Thu 8/28 5:30pm', Outcome = 'Wants to see demo, texted link'.</t>
        </is>
      </c>
    </row>
    <row r="8">
      <c r="B8" s="7" t="inlineStr"/>
    </row>
    <row r="9">
      <c r="B9" s="8" t="inlineStr">
        <is>
          <t>Before dialing any number</t>
        </is>
      </c>
    </row>
    <row r="10">
      <c r="B10" s="7" t="inlineStr">
        <is>
          <t>Phone numbers come from public listings and can be stale. Spend 5 seconds Googling the business name + city first. Rows marked 'Re-check first' in the Confidence column got a lighter verification pass - confirm no-website status before pitching those.</t>
        </is>
      </c>
    </row>
    <row r="11">
      <c r="B11" s="7" t="inlineStr">
        <is>
          <t>'Facebook only' (highlighted orange) = they already believe in being online but have no real site. Prime targets - call these first.</t>
        </is>
      </c>
    </row>
    <row r="12">
      <c r="B12" s="7" t="inlineStr"/>
    </row>
    <row r="13">
      <c r="B13" s="8" t="inlineStr">
        <is>
          <t>Counts</t>
        </is>
      </c>
    </row>
    <row r="14">
      <c r="B14" s="7" t="inlineStr">
        <is>
          <t>Total leads</t>
        </is>
      </c>
      <c r="C14" s="9">
        <f>COUNTA('Call Sheet'!A2:A90)</f>
        <v/>
      </c>
    </row>
    <row r="15">
      <c r="B15" s="7" t="inlineStr">
        <is>
          <t>Not called yet</t>
        </is>
      </c>
      <c r="C15" s="9">
        <f>COUNTIF('Call Sheet'!G2:G90,"Not called")</f>
        <v/>
      </c>
    </row>
    <row r="16">
      <c r="B16" s="7" t="inlineStr">
        <is>
          <t>Appointments booked</t>
        </is>
      </c>
      <c r="C16" s="9">
        <f>COUNTIF('Call Sheet'!G2:G90,"Appointment booked")</f>
        <v/>
      </c>
    </row>
    <row r="17">
      <c r="B17" s="7" t="inlineStr">
        <is>
          <t>Closed won</t>
        </is>
      </c>
      <c r="C17" s="9">
        <f>COUNTIF('Call Sheet'!G2:G90,"CLOSED WON")</f>
        <v/>
      </c>
    </row>
    <row r="18">
      <c r="B18" s="7" t="inlineStr">
        <is>
          <t>Facebook-only leads</t>
        </is>
      </c>
      <c r="C18" s="9">
        <f>COUNTIF('Call Sheet'!E2:E90,"Facebook only")</f>
        <v/>
      </c>
    </row>
    <row r="19">
      <c r="B19" s="7" t="inlineStr"/>
    </row>
    <row r="20">
      <c r="B20" s="8" t="inlineStr">
        <is>
          <t>Coverage notes</t>
        </is>
      </c>
    </row>
    <row r="21">
      <c r="B21" s="7" t="inlineStr">
        <is>
          <t>Hatch NM: no leads included - the only trade businesses found there had no discoverable phone number in any public listing.</t>
        </is>
      </c>
    </row>
    <row r="22">
      <c r="B22" s="7" t="inlineStr">
        <is>
          <t>Santa Teresa / Sunland Park / Anthony: no leads survived verification with a trustworthy phone source in this pass.</t>
        </is>
      </c>
    </row>
    <row r="23">
      <c r="B23" s="7" t="inlineStr">
        <is>
          <t>Businesses that already have a real website were excluded on purpose. Google ratings were left out of the sheet because none could be confirmed as Google (vs Yelp/Angi/Birdeye) ratings from the sources used; where a rating was seen, it is quoted in Notes with its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2026-08-24T23:13:20Z</dcterms:created>
  <dcterms:modified xsi:type="dcterms:W3CDTF">2026-08-24T23:13:20Z</dcterms:modified>
</cp:coreProperties>
</file>